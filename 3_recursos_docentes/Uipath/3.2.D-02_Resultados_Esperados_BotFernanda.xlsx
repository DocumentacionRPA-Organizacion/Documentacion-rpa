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esumen" sheetId="2" state="visible" r:id="rId4"/>
    <sheet name="Parámetros" sheetId="3" state="visible" r:id="rId5"/>
    <sheet name="Headcount" sheetId="4" state="visible" r:id="rId6"/>
    <sheet name="Master" sheetId="5" state="visible" r:id="rId7"/>
    <sheet name="Elegibilidad" sheetId="6" state="visible" r:id="rId8"/>
    <sheet name="Bonos_Directos" sheetId="7" state="visible" r:id="rId9"/>
    <sheet name="Bonos_Indirecto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Igual que Trim + Replace("  ", " ") + ToLower en UiPath (ficha 2.2.A-08).</t>
        </r>
      </text>
    </comment>
  </commentList>
</comments>
</file>

<file path=xl/sharedStrings.xml><?xml version="1.0" encoding="utf-8"?>
<sst xmlns="http://schemas.openxmlformats.org/spreadsheetml/2006/main" count="342" uniqueCount="155">
  <si>
    <t xml:space="preserve">Resultados esperados: BotFernanda con los datos de práctica 3.2.D-01</t>
  </si>
  <si>
    <t xml:space="preserve">Uso exclusivo del docente. Todos los nombres y cifras son ficticios.</t>
  </si>
  <si>
    <t xml:space="preserve">Cómo usar este libro</t>
  </si>
  <si>
    <t xml:space="preserve">1. Elegibilidad: qué empleados deben quedar en Bono_Directos, en Bono_Indirectos o fuera de ambos, y por qué.</t>
  </si>
  <si>
    <t xml:space="preserve">2. Bonos_Directos: el bono que el bot debe asignar a cada directo según su línea en DIRconLinea y el archivo maestro.</t>
  </si>
  <si>
    <t xml:space="preserve">3. Bonos_Indirectos: el monto fijo de cada indirecto elegible.</t>
  </si>
  <si>
    <t xml:space="preserve">4. Resumen: totales para revisar rápido la entrega de un estudiante.</t>
  </si>
  <si>
    <t xml:space="preserve">Las hojas Headcount y Master son copias de los archivos de entrada. Las reglas están en la hoja Parámetros</t>
  </si>
  <si>
    <t xml:space="preserve">(celdas amarillas, en azul). Si cambias un parámetro o un dato de entrada, los resultados se recalculan solos.</t>
  </si>
  <si>
    <t xml:space="preserve">Si agregas o quitas empleados, actualiza también las listas de Bonos_Directos y Bonos_Indirectos.</t>
  </si>
  <si>
    <t xml:space="preserve">Reglas (especificación 0.1.I-05)</t>
  </si>
  <si>
    <t xml:space="preserve">Elegible si: faltas = 0, vacaciones ≤ 15, permisos con goce = 0, permisos sin goce = 0 e incapacidad ≤ 15.</t>
  </si>
  <si>
    <t xml:space="preserve">Directos: si NCR_Quejas &gt; 2 el bono es $0; si no, efectividad &lt; 90 % = $0, &lt; 95 % = $250, &lt; 100 % = $350, 100 % = $500.</t>
  </si>
  <si>
    <t xml:space="preserve">Indirectos: monto fijo de $250. El nombre de línea se compara sin espacios de más y sin distinguir mayúsculas.</t>
  </si>
  <si>
    <t xml:space="preserve">Indicador</t>
  </si>
  <si>
    <t xml:space="preserve">Valor</t>
  </si>
  <si>
    <t xml:space="preserve">Empleados en el reporte</t>
  </si>
  <si>
    <t xml:space="preserve">Directos elegibles (filas en Bono_Directos)</t>
  </si>
  <si>
    <t xml:space="preserve">Indirectos elegibles (filas en Bono_Indirectos)</t>
  </si>
  <si>
    <t xml:space="preserve">Empleados excluidos</t>
  </si>
  <si>
    <t xml:space="preserve">Directos con línea no encontrada en el maestro</t>
  </si>
  <si>
    <t xml:space="preserve">Total de bonos para directos</t>
  </si>
  <si>
    <t xml:space="preserve">Total de bonos para indirectos</t>
  </si>
  <si>
    <t xml:space="preserve">Total general</t>
  </si>
  <si>
    <t xml:space="preserve">Parámetro</t>
  </si>
  <si>
    <t xml:space="preserve">Fuente</t>
  </si>
  <si>
    <t xml:space="preserve">Máximo de faltas injustificadas</t>
  </si>
  <si>
    <t xml:space="preserve">0.1.I-05, sección 2.1</t>
  </si>
  <si>
    <t xml:space="preserve">Máximo de días de vacaciones</t>
  </si>
  <si>
    <t xml:space="preserve">Máximo de permisos (con o sin goce)</t>
  </si>
  <si>
    <t xml:space="preserve">Máximo de días de incapacidad</t>
  </si>
  <si>
    <t xml:space="preserve">Máximo de quejas NCR para cobrar bono</t>
  </si>
  <si>
    <t xml:space="preserve">0.1.I-05, sección 2.2</t>
  </si>
  <si>
    <t xml:space="preserve">Efectividad mínima para $250</t>
  </si>
  <si>
    <t xml:space="preserve">Efectividad mínima para $350</t>
  </si>
  <si>
    <t xml:space="preserve">Efectividad mínima para $500</t>
  </si>
  <si>
    <t xml:space="preserve">Bono por debajo del primer umbral</t>
  </si>
  <si>
    <t xml:space="preserve">Bono nivel 1</t>
  </si>
  <si>
    <t xml:space="preserve">Bono nivel 2</t>
  </si>
  <si>
    <t xml:space="preserve">Bono nivel 3</t>
  </si>
  <si>
    <t xml:space="preserve">Monto fijo para indirectos</t>
  </si>
  <si>
    <t xml:space="preserve">0.1.I-05, sección 2.3</t>
  </si>
  <si>
    <t xml:space="preserve">Numero_Empleado</t>
  </si>
  <si>
    <t xml:space="preserve">Nombre_Completo</t>
  </si>
  <si>
    <t xml:space="preserve">Departamento</t>
  </si>
  <si>
    <t xml:space="preserve">Turno</t>
  </si>
  <si>
    <t xml:space="preserve">Fecha_Ingreso</t>
  </si>
  <si>
    <t xml:space="preserve">Tipo_Personal</t>
  </si>
  <si>
    <t xml:space="preserve">Puesto</t>
  </si>
  <si>
    <t xml:space="preserve">Faltas_Injustificadas</t>
  </si>
  <si>
    <t xml:space="preserve">Dias_Vacaciones</t>
  </si>
  <si>
    <t xml:space="preserve">Permisos_Con_Goce</t>
  </si>
  <si>
    <t xml:space="preserve">Permisos_Sin_Goce</t>
  </si>
  <si>
    <t xml:space="preserve">Dias_Incapacidad</t>
  </si>
  <si>
    <t xml:space="preserve">ANA SOFIA RAMIREZ LUGO</t>
  </si>
  <si>
    <t xml:space="preserve">Producción</t>
  </si>
  <si>
    <t xml:space="preserve">Matutino</t>
  </si>
  <si>
    <t xml:space="preserve">DIRECTO</t>
  </si>
  <si>
    <t xml:space="preserve">Operador de Ensamble I</t>
  </si>
  <si>
    <t xml:space="preserve">CARLOS EDUARDO MENDEZ RUIZ</t>
  </si>
  <si>
    <t xml:space="preserve">Operador de Ensamble II</t>
  </si>
  <si>
    <t xml:space="preserve">LUCIA FERNANDA SOTO VEGA</t>
  </si>
  <si>
    <t xml:space="preserve">Vespertino</t>
  </si>
  <si>
    <t xml:space="preserve">JORGE ALBERTO NAVARRO PAZ</t>
  </si>
  <si>
    <t xml:space="preserve">Operador de Moldeo</t>
  </si>
  <si>
    <t xml:space="preserve">MARIA GUADALUPE ORTIZ LEON</t>
  </si>
  <si>
    <t xml:space="preserve">Nocturno</t>
  </si>
  <si>
    <t xml:space="preserve">LUIS ANGEL CASTRO MORA</t>
  </si>
  <si>
    <t xml:space="preserve">DIANA PATRICIA REYES SOLIS</t>
  </si>
  <si>
    <t xml:space="preserve">RICARDO IVAN FLORES DIAZ</t>
  </si>
  <si>
    <t xml:space="preserve">Empacador</t>
  </si>
  <si>
    <t xml:space="preserve">PAOLA ANDREA GUERRERO NUÑEZ</t>
  </si>
  <si>
    <t xml:space="preserve">MIGUEL ANGEL ROMERO SALAS</t>
  </si>
  <si>
    <t xml:space="preserve">KARLA JIMENA ACOSTA PEÑA</t>
  </si>
  <si>
    <t xml:space="preserve">FERNANDO JAVIER IBARRA CRUZ</t>
  </si>
  <si>
    <t xml:space="preserve">VALERIA MONSERRAT LARA RIOS</t>
  </si>
  <si>
    <t xml:space="preserve">OSCAR DANIEL VILLA HERRERA</t>
  </si>
  <si>
    <t xml:space="preserve">ALEJANDRA ISABEL MEJIA TORRES</t>
  </si>
  <si>
    <t xml:space="preserve">SERGIO ARTURO CAMPOS AVILA</t>
  </si>
  <si>
    <t xml:space="preserve">NATALIA BEATRIZ DOMINGUEZ GIL</t>
  </si>
  <si>
    <t xml:space="preserve">HECTOR MANUEL PACHECO ROJAS</t>
  </si>
  <si>
    <t xml:space="preserve">ANDREA CAROLINA BRAVO SANDOVAL</t>
  </si>
  <si>
    <t xml:space="preserve">EDUARDO RAFAEL CORDOVA MEZA</t>
  </si>
  <si>
    <t xml:space="preserve">ROSA ELENA MARTINEZ ESPINOZA</t>
  </si>
  <si>
    <t xml:space="preserve">Calidad</t>
  </si>
  <si>
    <t xml:space="preserve">INDIRECTO</t>
  </si>
  <si>
    <t xml:space="preserve">Técnico de Calidad</t>
  </si>
  <si>
    <t xml:space="preserve">JAVIER ENRIQUE SALAZAR BUSTOS</t>
  </si>
  <si>
    <t xml:space="preserve">Mantenimiento</t>
  </si>
  <si>
    <t xml:space="preserve">Técnico de Mantenimiento</t>
  </si>
  <si>
    <t xml:space="preserve">GABRIELA NOEMI FUENTES OCHOA</t>
  </si>
  <si>
    <t xml:space="preserve">Almacén</t>
  </si>
  <si>
    <t xml:space="preserve">Almacenista</t>
  </si>
  <si>
    <t xml:space="preserve">ROBERTO CARLOS AGUILAR VALDEZ</t>
  </si>
  <si>
    <t xml:space="preserve">Supervisor de Producción</t>
  </si>
  <si>
    <t xml:space="preserve">ISABEL CRISTINA DURAN ZAMORA</t>
  </si>
  <si>
    <t xml:space="preserve">Recursos Humanos</t>
  </si>
  <si>
    <t xml:space="preserve">Analista de RH</t>
  </si>
  <si>
    <t xml:space="preserve">TOMAS ALEJANDRO RUBIO ESCOBAR</t>
  </si>
  <si>
    <t xml:space="preserve">Planeación</t>
  </si>
  <si>
    <t xml:space="preserve">Planeador de Materiales</t>
  </si>
  <si>
    <t xml:space="preserve">MONICA LETICIA CARRILLO PONCE</t>
  </si>
  <si>
    <t xml:space="preserve">Inspector de Calidad</t>
  </si>
  <si>
    <t xml:space="preserve">PABLO ESTEBAN MOLINA ARCE</t>
  </si>
  <si>
    <t xml:space="preserve">LAURA VERONICA ESTRADA LIMON</t>
  </si>
  <si>
    <t xml:space="preserve">DANIEL OMAR TREJO BARRERA</t>
  </si>
  <si>
    <t xml:space="preserve">Area_Linea</t>
  </si>
  <si>
    <t xml:space="preserve">NCR_Quejas</t>
  </si>
  <si>
    <t xml:space="preserve">FOOT2_Efectividad</t>
  </si>
  <si>
    <t xml:space="preserve">Caso de prueba</t>
  </si>
  <si>
    <t xml:space="preserve">Ensamble 1</t>
  </si>
  <si>
    <t xml:space="preserve">Efectividad 100 % → $500</t>
  </si>
  <si>
    <t xml:space="preserve">Ensamble 2</t>
  </si>
  <si>
    <t xml:space="preserve">Efectividad 97 % → $350</t>
  </si>
  <si>
    <t xml:space="preserve">Ensamble 3</t>
  </si>
  <si>
    <t xml:space="preserve">3 quejas → $0 aunque la efectividad sea 100 %</t>
  </si>
  <si>
    <t xml:space="preserve">Moldeo 1</t>
  </si>
  <si>
    <t xml:space="preserve">Límite: 2 quejas y 95 % exacto → $350</t>
  </si>
  <si>
    <t xml:space="preserve">Moldeo 2</t>
  </si>
  <si>
    <t xml:space="preserve">Efectividad 93 % → $250</t>
  </si>
  <si>
    <t xml:space="preserve">Empaque 1</t>
  </si>
  <si>
    <t xml:space="preserve">Efectividad 89 % → $0</t>
  </si>
  <si>
    <t xml:space="preserve">No. de empleado</t>
  </si>
  <si>
    <t xml:space="preserve">Nombre</t>
  </si>
  <si>
    <t xml:space="preserve">Elegible</t>
  </si>
  <si>
    <t xml:space="preserve">Motivo</t>
  </si>
  <si>
    <t xml:space="preserve">Archivo destino</t>
  </si>
  <si>
    <t xml:space="preserve">Asistencia perfecta</t>
  </si>
  <si>
    <t xml:space="preserve">Excluido por 1 falta</t>
  </si>
  <si>
    <t xml:space="preserve">Límite: 15 días de vacaciones</t>
  </si>
  <si>
    <t xml:space="preserve">Excluido por 16 días de vacaciones</t>
  </si>
  <si>
    <t xml:space="preserve">Límite: 15 días de incapacidad</t>
  </si>
  <si>
    <t xml:space="preserve">Excluido por 16 días de incapacidad</t>
  </si>
  <si>
    <t xml:space="preserve">Excluido por permiso con goce</t>
  </si>
  <si>
    <t xml:space="preserve">Excluido por permisos sin goce</t>
  </si>
  <si>
    <t xml:space="preserve">Excluido por 2 faltas</t>
  </si>
  <si>
    <t xml:space="preserve">Excluido por 20 días de vacaciones</t>
  </si>
  <si>
    <t xml:space="preserve">Excluido por permiso sin goce</t>
  </si>
  <si>
    <t xml:space="preserve">Nombre de línea (DIRconLinea)</t>
  </si>
  <si>
    <t xml:space="preserve">Línea limpia</t>
  </si>
  <si>
    <t xml:space="preserve">Encontrada en maestro</t>
  </si>
  <si>
    <t xml:space="preserve">Bono esperado</t>
  </si>
  <si>
    <t xml:space="preserve">Qué prueba</t>
  </si>
  <si>
    <t xml:space="preserve">Búsqueda directa</t>
  </si>
  <si>
    <t xml:space="preserve">  ensamble 1</t>
  </si>
  <si>
    <t xml:space="preserve">Limpieza de texto (espacios o mayúsculas)</t>
  </si>
  <si>
    <t xml:space="preserve">ENSAMBLE  2</t>
  </si>
  <si>
    <t xml:space="preserve">Ensamble 2 </t>
  </si>
  <si>
    <t xml:space="preserve">moldeo 1</t>
  </si>
  <si>
    <t xml:space="preserve">Moldeo  2</t>
  </si>
  <si>
    <t xml:space="preserve">Ensamble 9</t>
  </si>
  <si>
    <t xml:space="preserve">Línea que no existe en el maestro: el bot debe avisar</t>
  </si>
  <si>
    <t xml:space="preserve">ensamble 2</t>
  </si>
  <si>
    <t xml:space="preserve"> EMPAQUE 1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</si>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</sst>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\$#,##0"/>
    <numFmt numFmtId="167" formatCode="0%"/>
    <numFmt numFmtId="168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5" t="s">
        <v>14</v>
      </c>
      <c r="B1" s="5" t="s">
        <v>15</v>
      </c>
    </row>
    <row r="2" customFormat="false" ht="15" hidden="false" customHeight="false" outlineLevel="0" collapsed="false">
      <c r="A2" s="6" t="s">
        <v>16</v>
      </c>
      <c r="B2" s="7" t="n">
        <f aca="false">COUNTA(Elegibilidad!A2:A31)</f>
        <v>30</v>
      </c>
    </row>
    <row r="3" customFormat="false" ht="15" hidden="false" customHeight="false" outlineLevel="0" collapsed="false">
      <c r="A3" s="6" t="s">
        <v>17</v>
      </c>
      <c r="B3" s="7" t="n">
        <f aca="false">COUNTIF(Elegibilidad!F2:F31,"Bono_Directos")</f>
        <v>15</v>
      </c>
    </row>
    <row r="4" customFormat="false" ht="15" hidden="false" customHeight="false" outlineLevel="0" collapsed="false">
      <c r="A4" s="6" t="s">
        <v>18</v>
      </c>
      <c r="B4" s="7" t="n">
        <f aca="false">COUNTIF(Elegibilidad!F2:F31,"Bono_Indirectos")</f>
        <v>7</v>
      </c>
    </row>
    <row r="5" customFormat="false" ht="15" hidden="false" customHeight="false" outlineLevel="0" collapsed="false">
      <c r="A5" s="6" t="s">
        <v>19</v>
      </c>
      <c r="B5" s="7" t="n">
        <f aca="false">COUNTIF(Elegibilidad!F2:F31,"Excluido")</f>
        <v>8</v>
      </c>
    </row>
    <row r="6" customFormat="false" ht="15" hidden="false" customHeight="false" outlineLevel="0" collapsed="false">
      <c r="A6" s="6" t="s">
        <v>20</v>
      </c>
      <c r="B6" s="7" t="n">
        <f aca="false">COUNTIF(Bonos_Directos!E2:E16,"No")</f>
        <v>1</v>
      </c>
    </row>
    <row r="7" customFormat="false" ht="15" hidden="false" customHeight="false" outlineLevel="0" collapsed="false">
      <c r="A7" s="6" t="s">
        <v>21</v>
      </c>
      <c r="B7" s="8" t="n">
        <f aca="false">Bonos_Directos!H17</f>
        <v>3750</v>
      </c>
    </row>
    <row r="8" customFormat="false" ht="15" hidden="false" customHeight="false" outlineLevel="0" collapsed="false">
      <c r="A8" s="6" t="s">
        <v>22</v>
      </c>
      <c r="B8" s="8" t="n">
        <f aca="false">Bonos_Indirectos!D9</f>
        <v>1750</v>
      </c>
    </row>
    <row r="9" customFormat="false" ht="15" hidden="false" customHeight="false" outlineLevel="0" collapsed="false">
      <c r="A9" s="9" t="s">
        <v>23</v>
      </c>
      <c r="B9" s="10" t="n">
        <f aca="false">B7+B8</f>
        <v>5500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5" t="s">
        <v>24</v>
      </c>
      <c r="B1" s="5" t="s">
        <v>15</v>
      </c>
      <c r="C1" s="5" t="s">
        <v>25</v>
      </c>
    </row>
    <row r="2" customFormat="false" ht="15" hidden="false" customHeight="false" outlineLevel="0" collapsed="false">
      <c r="A2" s="6" t="s">
        <v>26</v>
      </c>
      <c r="B2" s="11" t="n">
        <v>0</v>
      </c>
      <c r="C2" s="6" t="s">
        <v>27</v>
      </c>
    </row>
    <row r="3" customFormat="false" ht="15" hidden="false" customHeight="false" outlineLevel="0" collapsed="false">
      <c r="A3" s="6" t="s">
        <v>28</v>
      </c>
      <c r="B3" s="11" t="n">
        <v>15</v>
      </c>
      <c r="C3" s="6" t="s">
        <v>27</v>
      </c>
    </row>
    <row r="4" customFormat="false" ht="15" hidden="false" customHeight="false" outlineLevel="0" collapsed="false">
      <c r="A4" s="6" t="s">
        <v>29</v>
      </c>
      <c r="B4" s="11" t="n">
        <v>0</v>
      </c>
      <c r="C4" s="6" t="s">
        <v>27</v>
      </c>
    </row>
    <row r="5" customFormat="false" ht="15" hidden="false" customHeight="false" outlineLevel="0" collapsed="false">
      <c r="A5" s="6" t="s">
        <v>30</v>
      </c>
      <c r="B5" s="11" t="n">
        <v>15</v>
      </c>
      <c r="C5" s="6" t="s">
        <v>27</v>
      </c>
    </row>
    <row r="6" customFormat="false" ht="15" hidden="false" customHeight="false" outlineLevel="0" collapsed="false">
      <c r="A6" s="6" t="s">
        <v>31</v>
      </c>
      <c r="B6" s="11" t="n">
        <v>2</v>
      </c>
      <c r="C6" s="6" t="s">
        <v>32</v>
      </c>
    </row>
    <row r="7" customFormat="false" ht="15" hidden="false" customHeight="false" outlineLevel="0" collapsed="false">
      <c r="A7" s="6" t="s">
        <v>33</v>
      </c>
      <c r="B7" s="12" t="n">
        <v>0.9</v>
      </c>
      <c r="C7" s="6" t="s">
        <v>32</v>
      </c>
    </row>
    <row r="8" customFormat="false" ht="15" hidden="false" customHeight="false" outlineLevel="0" collapsed="false">
      <c r="A8" s="6" t="s">
        <v>34</v>
      </c>
      <c r="B8" s="12" t="n">
        <v>0.95</v>
      </c>
      <c r="C8" s="6" t="s">
        <v>32</v>
      </c>
    </row>
    <row r="9" customFormat="false" ht="15" hidden="false" customHeight="false" outlineLevel="0" collapsed="false">
      <c r="A9" s="6" t="s">
        <v>35</v>
      </c>
      <c r="B9" s="12" t="n">
        <v>1</v>
      </c>
      <c r="C9" s="6" t="s">
        <v>32</v>
      </c>
    </row>
    <row r="10" customFormat="false" ht="15" hidden="false" customHeight="false" outlineLevel="0" collapsed="false">
      <c r="A10" s="6" t="s">
        <v>36</v>
      </c>
      <c r="B10" s="13" t="n">
        <v>0</v>
      </c>
      <c r="C10" s="6" t="s">
        <v>32</v>
      </c>
    </row>
    <row r="11" customFormat="false" ht="15" hidden="false" customHeight="false" outlineLevel="0" collapsed="false">
      <c r="A11" s="6" t="s">
        <v>37</v>
      </c>
      <c r="B11" s="13" t="n">
        <v>250</v>
      </c>
      <c r="C11" s="6" t="s">
        <v>32</v>
      </c>
    </row>
    <row r="12" customFormat="false" ht="15" hidden="false" customHeight="false" outlineLevel="0" collapsed="false">
      <c r="A12" s="6" t="s">
        <v>38</v>
      </c>
      <c r="B12" s="13" t="n">
        <v>350</v>
      </c>
      <c r="C12" s="6" t="s">
        <v>32</v>
      </c>
    </row>
    <row r="13" customFormat="false" ht="15" hidden="false" customHeight="false" outlineLevel="0" collapsed="false">
      <c r="A13" s="6" t="s">
        <v>39</v>
      </c>
      <c r="B13" s="13" t="n">
        <v>500</v>
      </c>
      <c r="C13" s="6" t="s">
        <v>32</v>
      </c>
    </row>
    <row r="14" customFormat="false" ht="15" hidden="false" customHeight="false" outlineLevel="0" collapsed="false">
      <c r="A14" s="6" t="s">
        <v>40</v>
      </c>
      <c r="B14" s="13" t="n">
        <v>250</v>
      </c>
      <c r="C14" s="6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26"/>
    <col collapsed="false" customWidth="true" hidden="false" outlineLevel="0" max="12" min="8" style="0" width="12"/>
  </cols>
  <sheetData>
    <row r="1" customFormat="false" ht="23.85" hidden="false" customHeight="false" outlineLevel="0" collapsed="false">
      <c r="A1" s="5" t="s">
        <v>42</v>
      </c>
      <c r="B1" s="5" t="s">
        <v>43</v>
      </c>
      <c r="C1" s="5" t="s">
        <v>44</v>
      </c>
      <c r="D1" s="5" t="s">
        <v>45</v>
      </c>
      <c r="E1" s="5" t="s">
        <v>46</v>
      </c>
      <c r="F1" s="5" t="s">
        <v>47</v>
      </c>
      <c r="G1" s="5" t="s">
        <v>48</v>
      </c>
      <c r="H1" s="5" t="s">
        <v>49</v>
      </c>
      <c r="I1" s="5" t="s">
        <v>50</v>
      </c>
      <c r="J1" s="5" t="s">
        <v>51</v>
      </c>
      <c r="K1" s="5" t="s">
        <v>52</v>
      </c>
      <c r="L1" s="5" t="s">
        <v>53</v>
      </c>
    </row>
    <row r="2" customFormat="false" ht="15" hidden="false" customHeight="false" outlineLevel="0" collapsed="false">
      <c r="A2" s="14" t="n">
        <v>1001</v>
      </c>
      <c r="B2" s="14" t="s">
        <v>54</v>
      </c>
      <c r="C2" s="14" t="s">
        <v>55</v>
      </c>
      <c r="D2" s="14" t="s">
        <v>56</v>
      </c>
      <c r="E2" s="15" t="n">
        <v>43535</v>
      </c>
      <c r="F2" s="14" t="s">
        <v>57</v>
      </c>
      <c r="G2" s="14" t="s">
        <v>58</v>
      </c>
      <c r="H2" s="14" t="n">
        <v>0</v>
      </c>
      <c r="I2" s="14" t="n">
        <v>0</v>
      </c>
      <c r="J2" s="14" t="n">
        <v>0</v>
      </c>
      <c r="K2" s="14" t="n">
        <v>0</v>
      </c>
      <c r="L2" s="14" t="n">
        <v>0</v>
      </c>
    </row>
    <row r="3" customFormat="false" ht="15" hidden="false" customHeight="false" outlineLevel="0" collapsed="false">
      <c r="A3" s="14" t="n">
        <v>1002</v>
      </c>
      <c r="B3" s="14" t="s">
        <v>59</v>
      </c>
      <c r="C3" s="14" t="s">
        <v>55</v>
      </c>
      <c r="D3" s="14" t="s">
        <v>56</v>
      </c>
      <c r="E3" s="15" t="n">
        <v>44013</v>
      </c>
      <c r="F3" s="14" t="s">
        <v>57</v>
      </c>
      <c r="G3" s="14" t="s">
        <v>60</v>
      </c>
      <c r="H3" s="14" t="n">
        <v>0</v>
      </c>
      <c r="I3" s="14" t="n">
        <v>3</v>
      </c>
      <c r="J3" s="14" t="n">
        <v>0</v>
      </c>
      <c r="K3" s="14" t="n">
        <v>0</v>
      </c>
      <c r="L3" s="14" t="n">
        <v>0</v>
      </c>
    </row>
    <row r="4" customFormat="false" ht="15" hidden="false" customHeight="false" outlineLevel="0" collapsed="false">
      <c r="A4" s="14" t="n">
        <v>1003</v>
      </c>
      <c r="B4" s="14" t="s">
        <v>61</v>
      </c>
      <c r="C4" s="14" t="s">
        <v>55</v>
      </c>
      <c r="D4" s="14" t="s">
        <v>62</v>
      </c>
      <c r="E4" s="15" t="n">
        <v>44214</v>
      </c>
      <c r="F4" s="14" t="s">
        <v>57</v>
      </c>
      <c r="G4" s="14" t="s">
        <v>58</v>
      </c>
      <c r="H4" s="14" t="n">
        <v>1</v>
      </c>
      <c r="I4" s="14" t="n">
        <v>0</v>
      </c>
      <c r="J4" s="14" t="n">
        <v>0</v>
      </c>
      <c r="K4" s="14" t="n">
        <v>0</v>
      </c>
      <c r="L4" s="14" t="n">
        <v>0</v>
      </c>
    </row>
    <row r="5" customFormat="false" ht="15" hidden="false" customHeight="false" outlineLevel="0" collapsed="false">
      <c r="A5" s="14" t="n">
        <v>1004</v>
      </c>
      <c r="B5" s="14" t="s">
        <v>63</v>
      </c>
      <c r="C5" s="14" t="s">
        <v>55</v>
      </c>
      <c r="D5" s="14" t="s">
        <v>62</v>
      </c>
      <c r="E5" s="15" t="n">
        <v>43409</v>
      </c>
      <c r="F5" s="14" t="s">
        <v>57</v>
      </c>
      <c r="G5" s="14" t="s">
        <v>64</v>
      </c>
      <c r="H5" s="14" t="n">
        <v>0</v>
      </c>
      <c r="I5" s="14" t="n">
        <v>15</v>
      </c>
      <c r="J5" s="14" t="n">
        <v>0</v>
      </c>
      <c r="K5" s="14" t="n">
        <v>0</v>
      </c>
      <c r="L5" s="14" t="n">
        <v>0</v>
      </c>
    </row>
    <row r="6" customFormat="false" ht="15" hidden="false" customHeight="false" outlineLevel="0" collapsed="false">
      <c r="A6" s="14" t="n">
        <v>1005</v>
      </c>
      <c r="B6" s="14" t="s">
        <v>65</v>
      </c>
      <c r="C6" s="14" t="s">
        <v>55</v>
      </c>
      <c r="D6" s="14" t="s">
        <v>66</v>
      </c>
      <c r="E6" s="15" t="n">
        <v>44606</v>
      </c>
      <c r="F6" s="14" t="s">
        <v>57</v>
      </c>
      <c r="G6" s="14" t="s">
        <v>64</v>
      </c>
      <c r="H6" s="14" t="n">
        <v>0</v>
      </c>
      <c r="I6" s="14" t="n">
        <v>16</v>
      </c>
      <c r="J6" s="14" t="n">
        <v>0</v>
      </c>
      <c r="K6" s="14" t="n">
        <v>0</v>
      </c>
      <c r="L6" s="14" t="n">
        <v>0</v>
      </c>
    </row>
    <row r="7" customFormat="false" ht="15" hidden="false" customHeight="false" outlineLevel="0" collapsed="false">
      <c r="A7" s="14" t="n">
        <v>1006</v>
      </c>
      <c r="B7" s="14" t="s">
        <v>67</v>
      </c>
      <c r="C7" s="14" t="s">
        <v>55</v>
      </c>
      <c r="D7" s="14" t="s">
        <v>56</v>
      </c>
      <c r="E7" s="15" t="n">
        <v>42912</v>
      </c>
      <c r="F7" s="14" t="s">
        <v>57</v>
      </c>
      <c r="G7" s="14" t="s">
        <v>60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15</v>
      </c>
    </row>
    <row r="8" customFormat="false" ht="15" hidden="false" customHeight="false" outlineLevel="0" collapsed="false">
      <c r="A8" s="14" t="n">
        <v>1007</v>
      </c>
      <c r="B8" s="14" t="s">
        <v>68</v>
      </c>
      <c r="C8" s="14" t="s">
        <v>55</v>
      </c>
      <c r="D8" s="14" t="s">
        <v>56</v>
      </c>
      <c r="E8" s="15" t="n">
        <v>45019</v>
      </c>
      <c r="F8" s="14" t="s">
        <v>57</v>
      </c>
      <c r="G8" s="14" t="s">
        <v>58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16</v>
      </c>
    </row>
    <row r="9" customFormat="false" ht="15" hidden="false" customHeight="false" outlineLevel="0" collapsed="false">
      <c r="A9" s="14" t="n">
        <v>1008</v>
      </c>
      <c r="B9" s="14" t="s">
        <v>69</v>
      </c>
      <c r="C9" s="14" t="s">
        <v>55</v>
      </c>
      <c r="D9" s="14" t="s">
        <v>62</v>
      </c>
      <c r="E9" s="15" t="n">
        <v>44095</v>
      </c>
      <c r="F9" s="14" t="s">
        <v>57</v>
      </c>
      <c r="G9" s="14" t="s">
        <v>70</v>
      </c>
      <c r="H9" s="14" t="n">
        <v>0</v>
      </c>
      <c r="I9" s="14" t="n">
        <v>2</v>
      </c>
      <c r="J9" s="14" t="n">
        <v>1</v>
      </c>
      <c r="K9" s="14" t="n">
        <v>0</v>
      </c>
      <c r="L9" s="14" t="n">
        <v>0</v>
      </c>
    </row>
    <row r="10" customFormat="false" ht="15" hidden="false" customHeight="false" outlineLevel="0" collapsed="false">
      <c r="A10" s="14" t="n">
        <v>1009</v>
      </c>
      <c r="B10" s="14" t="s">
        <v>71</v>
      </c>
      <c r="C10" s="14" t="s">
        <v>55</v>
      </c>
      <c r="D10" s="14" t="s">
        <v>62</v>
      </c>
      <c r="E10" s="15" t="n">
        <v>44536</v>
      </c>
      <c r="F10" s="14" t="s">
        <v>57</v>
      </c>
      <c r="G10" s="14" t="s">
        <v>70</v>
      </c>
      <c r="H10" s="14" t="n">
        <v>0</v>
      </c>
      <c r="I10" s="14" t="n">
        <v>0</v>
      </c>
      <c r="J10" s="14" t="n">
        <v>0</v>
      </c>
      <c r="K10" s="14" t="n">
        <v>2</v>
      </c>
      <c r="L10" s="14" t="n">
        <v>0</v>
      </c>
    </row>
    <row r="11" customFormat="false" ht="15" hidden="false" customHeight="false" outlineLevel="0" collapsed="false">
      <c r="A11" s="14" t="n">
        <v>1010</v>
      </c>
      <c r="B11" s="14" t="s">
        <v>72</v>
      </c>
      <c r="C11" s="14" t="s">
        <v>55</v>
      </c>
      <c r="D11" s="14" t="s">
        <v>66</v>
      </c>
      <c r="E11" s="15" t="n">
        <v>43689</v>
      </c>
      <c r="F11" s="14" t="s">
        <v>57</v>
      </c>
      <c r="G11" s="14" t="s">
        <v>60</v>
      </c>
      <c r="H11" s="14" t="n">
        <v>0</v>
      </c>
      <c r="I11" s="14" t="n">
        <v>5</v>
      </c>
      <c r="J11" s="14" t="n">
        <v>0</v>
      </c>
      <c r="K11" s="14" t="n">
        <v>0</v>
      </c>
      <c r="L11" s="14" t="n">
        <v>0</v>
      </c>
    </row>
    <row r="12" customFormat="false" ht="15" hidden="false" customHeight="false" outlineLevel="0" collapsed="false">
      <c r="A12" s="14" t="n">
        <v>1011</v>
      </c>
      <c r="B12" s="14" t="s">
        <v>73</v>
      </c>
      <c r="C12" s="14" t="s">
        <v>55</v>
      </c>
      <c r="D12" s="14" t="s">
        <v>66</v>
      </c>
      <c r="E12" s="15" t="n">
        <v>44851</v>
      </c>
      <c r="F12" s="14" t="s">
        <v>57</v>
      </c>
      <c r="G12" s="14" t="s">
        <v>58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2</v>
      </c>
    </row>
    <row r="13" customFormat="false" ht="15" hidden="false" customHeight="false" outlineLevel="0" collapsed="false">
      <c r="A13" s="14" t="n">
        <v>1012</v>
      </c>
      <c r="B13" s="14" t="s">
        <v>74</v>
      </c>
      <c r="C13" s="14" t="s">
        <v>55</v>
      </c>
      <c r="D13" s="14" t="s">
        <v>56</v>
      </c>
      <c r="E13" s="15" t="n">
        <v>42499</v>
      </c>
      <c r="F13" s="14" t="s">
        <v>57</v>
      </c>
      <c r="G13" s="14" t="s">
        <v>64</v>
      </c>
      <c r="H13" s="14" t="n">
        <v>0</v>
      </c>
      <c r="I13" s="14" t="n">
        <v>7</v>
      </c>
      <c r="J13" s="14" t="n">
        <v>0</v>
      </c>
      <c r="K13" s="14" t="n">
        <v>0</v>
      </c>
      <c r="L13" s="14" t="n">
        <v>0</v>
      </c>
    </row>
    <row r="14" customFormat="false" ht="15" hidden="false" customHeight="false" outlineLevel="0" collapsed="false">
      <c r="A14" s="14" t="n">
        <v>1013</v>
      </c>
      <c r="B14" s="14" t="s">
        <v>75</v>
      </c>
      <c r="C14" s="14" t="s">
        <v>55</v>
      </c>
      <c r="D14" s="14" t="s">
        <v>56</v>
      </c>
      <c r="E14" s="15" t="n">
        <v>44956</v>
      </c>
      <c r="F14" s="14" t="s">
        <v>57</v>
      </c>
      <c r="G14" s="14" t="s">
        <v>64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</row>
    <row r="15" customFormat="false" ht="15" hidden="false" customHeight="false" outlineLevel="0" collapsed="false">
      <c r="A15" s="14" t="n">
        <v>1014</v>
      </c>
      <c r="B15" s="14" t="s">
        <v>76</v>
      </c>
      <c r="C15" s="14" t="s">
        <v>55</v>
      </c>
      <c r="D15" s="14" t="s">
        <v>62</v>
      </c>
      <c r="E15" s="15" t="n">
        <v>43150</v>
      </c>
      <c r="F15" s="14" t="s">
        <v>57</v>
      </c>
      <c r="G15" s="14" t="s">
        <v>70</v>
      </c>
      <c r="H15" s="14" t="n">
        <v>0</v>
      </c>
      <c r="I15" s="14" t="n">
        <v>10</v>
      </c>
      <c r="J15" s="14" t="n">
        <v>0</v>
      </c>
      <c r="K15" s="14" t="n">
        <v>0</v>
      </c>
      <c r="L15" s="14" t="n">
        <v>0</v>
      </c>
    </row>
    <row r="16" customFormat="false" ht="15" hidden="false" customHeight="false" outlineLevel="0" collapsed="false">
      <c r="A16" s="14" t="n">
        <v>1015</v>
      </c>
      <c r="B16" s="14" t="s">
        <v>77</v>
      </c>
      <c r="C16" s="14" t="s">
        <v>55</v>
      </c>
      <c r="D16" s="14" t="s">
        <v>62</v>
      </c>
      <c r="E16" s="15" t="n">
        <v>43892</v>
      </c>
      <c r="F16" s="14" t="s">
        <v>57</v>
      </c>
      <c r="G16" s="14" t="s">
        <v>58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</row>
    <row r="17" customFormat="false" ht="15" hidden="false" customHeight="false" outlineLevel="0" collapsed="false">
      <c r="A17" s="14" t="n">
        <v>1016</v>
      </c>
      <c r="B17" s="14" t="s">
        <v>78</v>
      </c>
      <c r="C17" s="14" t="s">
        <v>55</v>
      </c>
      <c r="D17" s="14" t="s">
        <v>66</v>
      </c>
      <c r="E17" s="15" t="n">
        <v>44403</v>
      </c>
      <c r="F17" s="14" t="s">
        <v>57</v>
      </c>
      <c r="G17" s="14" t="s">
        <v>60</v>
      </c>
      <c r="H17" s="14" t="n">
        <v>0</v>
      </c>
      <c r="I17" s="14" t="n">
        <v>1</v>
      </c>
      <c r="J17" s="14" t="n">
        <v>0</v>
      </c>
      <c r="K17" s="14" t="n">
        <v>0</v>
      </c>
      <c r="L17" s="14" t="n">
        <v>0</v>
      </c>
    </row>
    <row r="18" customFormat="false" ht="15" hidden="false" customHeight="false" outlineLevel="0" collapsed="false">
      <c r="A18" s="14" t="n">
        <v>1017</v>
      </c>
      <c r="B18" s="14" t="s">
        <v>79</v>
      </c>
      <c r="C18" s="14" t="s">
        <v>55</v>
      </c>
      <c r="D18" s="14" t="s">
        <v>66</v>
      </c>
      <c r="E18" s="15" t="n">
        <v>43031</v>
      </c>
      <c r="F18" s="14" t="s">
        <v>57</v>
      </c>
      <c r="G18" s="14" t="s">
        <v>58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</row>
    <row r="19" customFormat="false" ht="15" hidden="false" customHeight="false" outlineLevel="0" collapsed="false">
      <c r="A19" s="14" t="n">
        <v>1018</v>
      </c>
      <c r="B19" s="14" t="s">
        <v>80</v>
      </c>
      <c r="C19" s="14" t="s">
        <v>55</v>
      </c>
      <c r="D19" s="14" t="s">
        <v>56</v>
      </c>
      <c r="E19" s="15" t="n">
        <v>43598</v>
      </c>
      <c r="F19" s="14" t="s">
        <v>57</v>
      </c>
      <c r="G19" s="14" t="s">
        <v>70</v>
      </c>
      <c r="H19" s="14" t="n">
        <v>0</v>
      </c>
      <c r="I19" s="14" t="n">
        <v>4</v>
      </c>
      <c r="J19" s="14" t="n">
        <v>0</v>
      </c>
      <c r="K19" s="14" t="n">
        <v>0</v>
      </c>
      <c r="L19" s="14" t="n">
        <v>0</v>
      </c>
    </row>
    <row r="20" customFormat="false" ht="15" hidden="false" customHeight="false" outlineLevel="0" collapsed="false">
      <c r="A20" s="14" t="n">
        <v>1019</v>
      </c>
      <c r="B20" s="14" t="s">
        <v>81</v>
      </c>
      <c r="C20" s="14" t="s">
        <v>55</v>
      </c>
      <c r="D20" s="14" t="s">
        <v>62</v>
      </c>
      <c r="E20" s="15" t="n">
        <v>44718</v>
      </c>
      <c r="F20" s="14" t="s">
        <v>57</v>
      </c>
      <c r="G20" s="14" t="s">
        <v>64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</row>
    <row r="21" customFormat="false" ht="15" hidden="false" customHeight="false" outlineLevel="0" collapsed="false">
      <c r="A21" s="14" t="n">
        <v>1020</v>
      </c>
      <c r="B21" s="14" t="s">
        <v>82</v>
      </c>
      <c r="C21" s="14" t="s">
        <v>55</v>
      </c>
      <c r="D21" s="14" t="s">
        <v>66</v>
      </c>
      <c r="E21" s="15" t="n">
        <v>44165</v>
      </c>
      <c r="F21" s="14" t="s">
        <v>57</v>
      </c>
      <c r="G21" s="14" t="s">
        <v>60</v>
      </c>
      <c r="H21" s="14" t="n">
        <v>0</v>
      </c>
      <c r="I21" s="14" t="n">
        <v>6</v>
      </c>
      <c r="J21" s="14" t="n">
        <v>0</v>
      </c>
      <c r="K21" s="14" t="n">
        <v>0</v>
      </c>
      <c r="L21" s="14" t="n">
        <v>0</v>
      </c>
    </row>
    <row r="22" customFormat="false" ht="15" hidden="false" customHeight="false" outlineLevel="0" collapsed="false">
      <c r="A22" s="14" t="n">
        <v>2001</v>
      </c>
      <c r="B22" s="14" t="s">
        <v>83</v>
      </c>
      <c r="C22" s="14" t="s">
        <v>84</v>
      </c>
      <c r="D22" s="14" t="s">
        <v>56</v>
      </c>
      <c r="E22" s="15" t="n">
        <v>42261</v>
      </c>
      <c r="F22" s="14" t="s">
        <v>85</v>
      </c>
      <c r="G22" s="14" t="s">
        <v>86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</row>
    <row r="23" customFormat="false" ht="15" hidden="false" customHeight="false" outlineLevel="0" collapsed="false">
      <c r="A23" s="14" t="n">
        <v>2002</v>
      </c>
      <c r="B23" s="14" t="s">
        <v>87</v>
      </c>
      <c r="C23" s="14" t="s">
        <v>88</v>
      </c>
      <c r="D23" s="14" t="s">
        <v>56</v>
      </c>
      <c r="E23" s="15" t="n">
        <v>43108</v>
      </c>
      <c r="F23" s="14" t="s">
        <v>85</v>
      </c>
      <c r="G23" s="14" t="s">
        <v>89</v>
      </c>
      <c r="H23" s="14" t="n">
        <v>0</v>
      </c>
      <c r="I23" s="14" t="n">
        <v>8</v>
      </c>
      <c r="J23" s="14" t="n">
        <v>0</v>
      </c>
      <c r="K23" s="14" t="n">
        <v>0</v>
      </c>
      <c r="L23" s="14" t="n">
        <v>0</v>
      </c>
    </row>
    <row r="24" customFormat="false" ht="15" hidden="false" customHeight="false" outlineLevel="0" collapsed="false">
      <c r="A24" s="14" t="n">
        <v>2003</v>
      </c>
      <c r="B24" s="14" t="s">
        <v>90</v>
      </c>
      <c r="C24" s="14" t="s">
        <v>91</v>
      </c>
      <c r="D24" s="14" t="s">
        <v>62</v>
      </c>
      <c r="E24" s="15" t="n">
        <v>44277</v>
      </c>
      <c r="F24" s="14" t="s">
        <v>85</v>
      </c>
      <c r="G24" s="14" t="s">
        <v>92</v>
      </c>
      <c r="H24" s="14" t="n">
        <v>2</v>
      </c>
      <c r="I24" s="14" t="n">
        <v>0</v>
      </c>
      <c r="J24" s="14" t="n">
        <v>0</v>
      </c>
      <c r="K24" s="14" t="n">
        <v>0</v>
      </c>
      <c r="L24" s="14" t="n">
        <v>0</v>
      </c>
    </row>
    <row r="25" customFormat="false" ht="15" hidden="false" customHeight="false" outlineLevel="0" collapsed="false">
      <c r="A25" s="14" t="n">
        <v>2004</v>
      </c>
      <c r="B25" s="14" t="s">
        <v>93</v>
      </c>
      <c r="C25" s="14" t="s">
        <v>55</v>
      </c>
      <c r="D25" s="14" t="s">
        <v>56</v>
      </c>
      <c r="E25" s="15" t="n">
        <v>41736</v>
      </c>
      <c r="F25" s="14" t="s">
        <v>85</v>
      </c>
      <c r="G25" s="14" t="s">
        <v>94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15</v>
      </c>
    </row>
    <row r="26" customFormat="false" ht="15" hidden="false" customHeight="false" outlineLevel="0" collapsed="false">
      <c r="A26" s="14" t="n">
        <v>2005</v>
      </c>
      <c r="B26" s="14" t="s">
        <v>95</v>
      </c>
      <c r="C26" s="14" t="s">
        <v>96</v>
      </c>
      <c r="D26" s="14" t="s">
        <v>56</v>
      </c>
      <c r="E26" s="15" t="n">
        <v>43801</v>
      </c>
      <c r="F26" s="14" t="s">
        <v>85</v>
      </c>
      <c r="G26" s="14" t="s">
        <v>97</v>
      </c>
      <c r="H26" s="14" t="n">
        <v>0</v>
      </c>
      <c r="I26" s="14" t="n">
        <v>20</v>
      </c>
      <c r="J26" s="14" t="n">
        <v>0</v>
      </c>
      <c r="K26" s="14" t="n">
        <v>0</v>
      </c>
      <c r="L26" s="14" t="n">
        <v>0</v>
      </c>
    </row>
    <row r="27" customFormat="false" ht="15" hidden="false" customHeight="false" outlineLevel="0" collapsed="false">
      <c r="A27" s="14" t="n">
        <v>2006</v>
      </c>
      <c r="B27" s="14" t="s">
        <v>98</v>
      </c>
      <c r="C27" s="14" t="s">
        <v>99</v>
      </c>
      <c r="D27" s="14" t="s">
        <v>56</v>
      </c>
      <c r="E27" s="15" t="n">
        <v>44060</v>
      </c>
      <c r="F27" s="14" t="s">
        <v>85</v>
      </c>
      <c r="G27" s="14" t="s">
        <v>100</v>
      </c>
      <c r="H27" s="14" t="n">
        <v>0</v>
      </c>
      <c r="I27" s="14" t="n">
        <v>2</v>
      </c>
      <c r="J27" s="14" t="n">
        <v>0</v>
      </c>
      <c r="K27" s="14" t="n">
        <v>0</v>
      </c>
      <c r="L27" s="14" t="n">
        <v>0</v>
      </c>
    </row>
    <row r="28" customFormat="false" ht="15" hidden="false" customHeight="false" outlineLevel="0" collapsed="false">
      <c r="A28" s="14" t="n">
        <v>2007</v>
      </c>
      <c r="B28" s="14" t="s">
        <v>101</v>
      </c>
      <c r="C28" s="14" t="s">
        <v>84</v>
      </c>
      <c r="D28" s="14" t="s">
        <v>62</v>
      </c>
      <c r="E28" s="15" t="n">
        <v>44690</v>
      </c>
      <c r="F28" s="14" t="s">
        <v>85</v>
      </c>
      <c r="G28" s="14" t="s">
        <v>102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</row>
    <row r="29" customFormat="false" ht="15" hidden="false" customHeight="false" outlineLevel="0" collapsed="false">
      <c r="A29" s="14" t="n">
        <v>2008</v>
      </c>
      <c r="B29" s="14" t="s">
        <v>103</v>
      </c>
      <c r="C29" s="14" t="s">
        <v>88</v>
      </c>
      <c r="D29" s="14" t="s">
        <v>66</v>
      </c>
      <c r="E29" s="15" t="n">
        <v>42793</v>
      </c>
      <c r="F29" s="14" t="s">
        <v>85</v>
      </c>
      <c r="G29" s="14" t="s">
        <v>89</v>
      </c>
      <c r="H29" s="14" t="n">
        <v>0</v>
      </c>
      <c r="I29" s="14" t="n">
        <v>0</v>
      </c>
      <c r="J29" s="14" t="n">
        <v>0</v>
      </c>
      <c r="K29" s="14" t="n">
        <v>1</v>
      </c>
      <c r="L29" s="14" t="n">
        <v>0</v>
      </c>
    </row>
    <row r="30" customFormat="false" ht="15" hidden="false" customHeight="false" outlineLevel="0" collapsed="false">
      <c r="A30" s="14" t="n">
        <v>2009</v>
      </c>
      <c r="B30" s="14" t="s">
        <v>104</v>
      </c>
      <c r="C30" s="14" t="s">
        <v>91</v>
      </c>
      <c r="D30" s="14" t="s">
        <v>56</v>
      </c>
      <c r="E30" s="15" t="n">
        <v>45152</v>
      </c>
      <c r="F30" s="14" t="s">
        <v>85</v>
      </c>
      <c r="G30" s="14" t="s">
        <v>92</v>
      </c>
      <c r="H30" s="14" t="n">
        <v>0</v>
      </c>
      <c r="I30" s="14" t="n">
        <v>12</v>
      </c>
      <c r="J30" s="14" t="n">
        <v>0</v>
      </c>
      <c r="K30" s="14" t="n">
        <v>0</v>
      </c>
      <c r="L30" s="14" t="n">
        <v>0</v>
      </c>
    </row>
    <row r="31" customFormat="false" ht="15" hidden="false" customHeight="false" outlineLevel="0" collapsed="false">
      <c r="A31" s="14" t="n">
        <v>2010</v>
      </c>
      <c r="B31" s="14" t="s">
        <v>105</v>
      </c>
      <c r="C31" s="14" t="s">
        <v>55</v>
      </c>
      <c r="D31" s="14" t="s">
        <v>62</v>
      </c>
      <c r="E31" s="15" t="n">
        <v>42646</v>
      </c>
      <c r="F31" s="14" t="s">
        <v>85</v>
      </c>
      <c r="G31" s="14" t="s">
        <v>94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46"/>
  </cols>
  <sheetData>
    <row r="1" customFormat="false" ht="15" hidden="false" customHeight="false" outlineLevel="0" collapsed="false">
      <c r="A1" s="5" t="s">
        <v>106</v>
      </c>
      <c r="B1" s="5" t="s">
        <v>107</v>
      </c>
      <c r="C1" s="5" t="s">
        <v>108</v>
      </c>
      <c r="D1" s="5" t="s">
        <v>109</v>
      </c>
    </row>
    <row r="2" customFormat="false" ht="15" hidden="false" customHeight="false" outlineLevel="0" collapsed="false">
      <c r="A2" s="14" t="s">
        <v>110</v>
      </c>
      <c r="B2" s="14" t="n">
        <v>0</v>
      </c>
      <c r="C2" s="16" t="n">
        <v>1</v>
      </c>
      <c r="D2" s="6" t="s">
        <v>111</v>
      </c>
    </row>
    <row r="3" customFormat="false" ht="15" hidden="false" customHeight="false" outlineLevel="0" collapsed="false">
      <c r="A3" s="14" t="s">
        <v>112</v>
      </c>
      <c r="B3" s="14" t="n">
        <v>1</v>
      </c>
      <c r="C3" s="16" t="n">
        <v>0.97</v>
      </c>
      <c r="D3" s="6" t="s">
        <v>113</v>
      </c>
    </row>
    <row r="4" customFormat="false" ht="15" hidden="false" customHeight="false" outlineLevel="0" collapsed="false">
      <c r="A4" s="14" t="s">
        <v>114</v>
      </c>
      <c r="B4" s="14" t="n">
        <v>3</v>
      </c>
      <c r="C4" s="16" t="n">
        <v>1</v>
      </c>
      <c r="D4" s="6" t="s">
        <v>115</v>
      </c>
    </row>
    <row r="5" customFormat="false" ht="15" hidden="false" customHeight="false" outlineLevel="0" collapsed="false">
      <c r="A5" s="14" t="s">
        <v>116</v>
      </c>
      <c r="B5" s="14" t="n">
        <v>2</v>
      </c>
      <c r="C5" s="16" t="n">
        <v>0.95</v>
      </c>
      <c r="D5" s="6" t="s">
        <v>117</v>
      </c>
    </row>
    <row r="6" customFormat="false" ht="15" hidden="false" customHeight="false" outlineLevel="0" collapsed="false">
      <c r="A6" s="14" t="s">
        <v>118</v>
      </c>
      <c r="B6" s="14" t="n">
        <v>0</v>
      </c>
      <c r="C6" s="16" t="n">
        <v>0.93</v>
      </c>
      <c r="D6" s="6" t="s">
        <v>119</v>
      </c>
    </row>
    <row r="7" customFormat="false" ht="15" hidden="false" customHeight="false" outlineLevel="0" collapsed="false">
      <c r="A7" s="14" t="s">
        <v>120</v>
      </c>
      <c r="B7" s="14" t="n">
        <v>1</v>
      </c>
      <c r="C7" s="16" t="n">
        <v>0.89</v>
      </c>
      <c r="D7" s="6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40"/>
    <col collapsed="false" customWidth="true" hidden="false" outlineLevel="0" max="6" min="6" style="0" width="18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5" t="s">
        <v>122</v>
      </c>
      <c r="B1" s="5" t="s">
        <v>123</v>
      </c>
      <c r="C1" s="5" t="s">
        <v>47</v>
      </c>
      <c r="D1" s="5" t="s">
        <v>124</v>
      </c>
      <c r="E1" s="5" t="s">
        <v>125</v>
      </c>
      <c r="F1" s="5" t="s">
        <v>126</v>
      </c>
      <c r="G1" s="5" t="s">
        <v>109</v>
      </c>
    </row>
    <row r="2" customFormat="false" ht="15" hidden="false" customHeight="false" outlineLevel="0" collapsed="false">
      <c r="A2" s="6" t="n">
        <f aca="false">Headcount!A2</f>
        <v>1001</v>
      </c>
      <c r="B2" s="6" t="str">
        <f aca="false">Headcount!B2</f>
        <v>ANA SOFIA RAMIREZ LUGO</v>
      </c>
      <c r="C2" s="6" t="str">
        <f aca="false">Headcount!F2</f>
        <v>DIRECTO</v>
      </c>
      <c r="D2" s="6" t="str">
        <f aca="false">IF(AND(Headcount!H2&lt;=Parámetros!$B$2,Headcount!I2&lt;=Parámetros!$B$3,Headcount!J2&lt;=Parámetros!$B$4,Headcount!K2&lt;=Parámetros!$B$4,Headcount!L2&lt;=Parámetros!$B$5),"Sí","No")</f>
        <v>Sí</v>
      </c>
      <c r="E2" s="6" t="str">
        <f aca="false">IF(D2="Sí","Cumple todas las reglas",IF(Headcount!H2&gt;Parámetros!$B$2,"Faltas injustificadas: "&amp;Headcount!H2,IF(Headcount!I2&gt;Parámetros!$B$3,"Vacaciones: "&amp;Headcount!I2&amp;" días",IF(Headcount!J2&gt;Parámetros!$B$4,"Permisos con goce: "&amp;Headcount!J2,IF(Headcount!K2&gt;Parámetros!$B$4,"Permisos sin goce: "&amp;Headcount!K2,"Incapacidad: "&amp;Headcount!L2&amp;" días")))))</f>
        <v>Cumple todas las reglas</v>
      </c>
      <c r="F2" s="6" t="str">
        <f aca="false">IF(D2="No","Excluido",IF(C2="DIRECTO","Bono_Directos","Bono_Indirectos"))</f>
        <v>Bono_Directos</v>
      </c>
      <c r="G2" s="6" t="s">
        <v>127</v>
      </c>
    </row>
    <row r="3" customFormat="false" ht="15" hidden="false" customHeight="false" outlineLevel="0" collapsed="false">
      <c r="A3" s="6" t="n">
        <f aca="false">Headcount!A3</f>
        <v>1002</v>
      </c>
      <c r="B3" s="6" t="str">
        <f aca="false">Headcount!B3</f>
        <v>CARLOS EDUARDO MENDEZ RUIZ</v>
      </c>
      <c r="C3" s="6" t="str">
        <f aca="false">Headcount!F3</f>
        <v>DIRECTO</v>
      </c>
      <c r="D3" s="6" t="str">
        <f aca="false">IF(AND(Headcount!H3&lt;=Parámetros!$B$2,Headcount!I3&lt;=Parámetros!$B$3,Headcount!J3&lt;=Parámetros!$B$4,Headcount!K3&lt;=Parámetros!$B$4,Headcount!L3&lt;=Parámetros!$B$5),"Sí","No")</f>
        <v>Sí</v>
      </c>
      <c r="E3" s="6" t="str">
        <f aca="false">IF(D3="Sí","Cumple todas las reglas",IF(Headcount!H3&gt;Parámetros!$B$2,"Faltas injustificadas: "&amp;Headcount!H3,IF(Headcount!I3&gt;Parámetros!$B$3,"Vacaciones: "&amp;Headcount!I3&amp;" días",IF(Headcount!J3&gt;Parámetros!$B$4,"Permisos con goce: "&amp;Headcount!J3,IF(Headcount!K3&gt;Parámetros!$B$4,"Permisos sin goce: "&amp;Headcount!K3,"Incapacidad: "&amp;Headcount!L3&amp;" días")))))</f>
        <v>Cumple todas las reglas</v>
      </c>
      <c r="F3" s="6" t="str">
        <f aca="false">IF(D3="No","Excluido",IF(C3="DIRECTO","Bono_Directos","Bono_Indirectos"))</f>
        <v>Bono_Directos</v>
      </c>
      <c r="G3" s="6" t="s">
        <v>124</v>
      </c>
    </row>
    <row r="4" customFormat="false" ht="15" hidden="false" customHeight="false" outlineLevel="0" collapsed="false">
      <c r="A4" s="6" t="n">
        <f aca="false">Headcount!A4</f>
        <v>1003</v>
      </c>
      <c r="B4" s="6" t="str">
        <f aca="false">Headcount!B4</f>
        <v>LUCIA FERNANDA SOTO VEGA</v>
      </c>
      <c r="C4" s="6" t="str">
        <f aca="false">Headcount!F4</f>
        <v>DIRECTO</v>
      </c>
      <c r="D4" s="6" t="str">
        <f aca="false">IF(AND(Headcount!H4&lt;=Parámetros!$B$2,Headcount!I4&lt;=Parámetros!$B$3,Headcount!J4&lt;=Parámetros!$B$4,Headcount!K4&lt;=Parámetros!$B$4,Headcount!L4&lt;=Parámetros!$B$5),"Sí","No")</f>
        <v>No</v>
      </c>
      <c r="E4" s="6" t="str">
        <f aca="false">IF(D4="Sí","Cumple todas las reglas",IF(Headcount!H4&gt;Parámetros!$B$2,"Faltas injustificadas: "&amp;Headcount!H4,IF(Headcount!I4&gt;Parámetros!$B$3,"Vacaciones: "&amp;Headcount!I4&amp;" días",IF(Headcount!J4&gt;Parámetros!$B$4,"Permisos con goce: "&amp;Headcount!J4,IF(Headcount!K4&gt;Parámetros!$B$4,"Permisos sin goce: "&amp;Headcount!K4,"Incapacidad: "&amp;Headcount!L4&amp;" días")))))</f>
        <v>Faltas injustificadas: 1</v>
      </c>
      <c r="F4" s="6" t="str">
        <f aca="false">IF(D4="No","Excluido",IF(C4="DIRECTO","Bono_Directos","Bono_Indirectos"))</f>
        <v>Excluido</v>
      </c>
      <c r="G4" s="6" t="s">
        <v>128</v>
      </c>
    </row>
    <row r="5" customFormat="false" ht="15" hidden="false" customHeight="false" outlineLevel="0" collapsed="false">
      <c r="A5" s="6" t="n">
        <f aca="false">Headcount!A5</f>
        <v>1004</v>
      </c>
      <c r="B5" s="6" t="str">
        <f aca="false">Headcount!B5</f>
        <v>JORGE ALBERTO NAVARRO PAZ</v>
      </c>
      <c r="C5" s="6" t="str">
        <f aca="false">Headcount!F5</f>
        <v>DIRECTO</v>
      </c>
      <c r="D5" s="6" t="str">
        <f aca="false">IF(AND(Headcount!H5&lt;=Parámetros!$B$2,Headcount!I5&lt;=Parámetros!$B$3,Headcount!J5&lt;=Parámetros!$B$4,Headcount!K5&lt;=Parámetros!$B$4,Headcount!L5&lt;=Parámetros!$B$5),"Sí","No")</f>
        <v>Sí</v>
      </c>
      <c r="E5" s="6" t="str">
        <f aca="false">IF(D5="Sí","Cumple todas las reglas",IF(Headcount!H5&gt;Parámetros!$B$2,"Faltas injustificadas: "&amp;Headcount!H5,IF(Headcount!I5&gt;Parámetros!$B$3,"Vacaciones: "&amp;Headcount!I5&amp;" días",IF(Headcount!J5&gt;Parámetros!$B$4,"Permisos con goce: "&amp;Headcount!J5,IF(Headcount!K5&gt;Parámetros!$B$4,"Permisos sin goce: "&amp;Headcount!K5,"Incapacidad: "&amp;Headcount!L5&amp;" días")))))</f>
        <v>Cumple todas las reglas</v>
      </c>
      <c r="F5" s="6" t="str">
        <f aca="false">IF(D5="No","Excluido",IF(C5="DIRECTO","Bono_Directos","Bono_Indirectos"))</f>
        <v>Bono_Directos</v>
      </c>
      <c r="G5" s="6" t="s">
        <v>129</v>
      </c>
    </row>
    <row r="6" customFormat="false" ht="15" hidden="false" customHeight="false" outlineLevel="0" collapsed="false">
      <c r="A6" s="6" t="n">
        <f aca="false">Headcount!A6</f>
        <v>1005</v>
      </c>
      <c r="B6" s="6" t="str">
        <f aca="false">Headcount!B6</f>
        <v>MARIA GUADALUPE ORTIZ LEON</v>
      </c>
      <c r="C6" s="6" t="str">
        <f aca="false">Headcount!F6</f>
        <v>DIRECTO</v>
      </c>
      <c r="D6" s="6" t="str">
        <f aca="false">IF(AND(Headcount!H6&lt;=Parámetros!$B$2,Headcount!I6&lt;=Parámetros!$B$3,Headcount!J6&lt;=Parámetros!$B$4,Headcount!K6&lt;=Parámetros!$B$4,Headcount!L6&lt;=Parámetros!$B$5),"Sí","No")</f>
        <v>No</v>
      </c>
      <c r="E6" s="6" t="str">
        <f aca="false">IF(D6="Sí","Cumple todas las reglas",IF(Headcount!H6&gt;Parámetros!$B$2,"Faltas injustificadas: "&amp;Headcount!H6,IF(Headcount!I6&gt;Parámetros!$B$3,"Vacaciones: "&amp;Headcount!I6&amp;" días",IF(Headcount!J6&gt;Parámetros!$B$4,"Permisos con goce: "&amp;Headcount!J6,IF(Headcount!K6&gt;Parámetros!$B$4,"Permisos sin goce: "&amp;Headcount!K6,"Incapacidad: "&amp;Headcount!L6&amp;" días")))))</f>
        <v>Vacaciones: 16 días</v>
      </c>
      <c r="F6" s="6" t="str">
        <f aca="false">IF(D6="No","Excluido",IF(C6="DIRECTO","Bono_Directos","Bono_Indirectos"))</f>
        <v>Excluido</v>
      </c>
      <c r="G6" s="6" t="s">
        <v>130</v>
      </c>
    </row>
    <row r="7" customFormat="false" ht="15" hidden="false" customHeight="false" outlineLevel="0" collapsed="false">
      <c r="A7" s="6" t="n">
        <f aca="false">Headcount!A7</f>
        <v>1006</v>
      </c>
      <c r="B7" s="6" t="str">
        <f aca="false">Headcount!B7</f>
        <v>LUIS ANGEL CASTRO MORA</v>
      </c>
      <c r="C7" s="6" t="str">
        <f aca="false">Headcount!F7</f>
        <v>DIRECTO</v>
      </c>
      <c r="D7" s="6" t="str">
        <f aca="false">IF(AND(Headcount!H7&lt;=Parámetros!$B$2,Headcount!I7&lt;=Parámetros!$B$3,Headcount!J7&lt;=Parámetros!$B$4,Headcount!K7&lt;=Parámetros!$B$4,Headcount!L7&lt;=Parámetros!$B$5),"Sí","No")</f>
        <v>Sí</v>
      </c>
      <c r="E7" s="6" t="str">
        <f aca="false">IF(D7="Sí","Cumple todas las reglas",IF(Headcount!H7&gt;Parámetros!$B$2,"Faltas injustificadas: "&amp;Headcount!H7,IF(Headcount!I7&gt;Parámetros!$B$3,"Vacaciones: "&amp;Headcount!I7&amp;" días",IF(Headcount!J7&gt;Parámetros!$B$4,"Permisos con goce: "&amp;Headcount!J7,IF(Headcount!K7&gt;Parámetros!$B$4,"Permisos sin goce: "&amp;Headcount!K7,"Incapacidad: "&amp;Headcount!L7&amp;" días")))))</f>
        <v>Cumple todas las reglas</v>
      </c>
      <c r="F7" s="6" t="str">
        <f aca="false">IF(D7="No","Excluido",IF(C7="DIRECTO","Bono_Directos","Bono_Indirectos"))</f>
        <v>Bono_Directos</v>
      </c>
      <c r="G7" s="6" t="s">
        <v>131</v>
      </c>
    </row>
    <row r="8" customFormat="false" ht="15" hidden="false" customHeight="false" outlineLevel="0" collapsed="false">
      <c r="A8" s="6" t="n">
        <f aca="false">Headcount!A8</f>
        <v>1007</v>
      </c>
      <c r="B8" s="6" t="str">
        <f aca="false">Headcount!B8</f>
        <v>DIANA PATRICIA REYES SOLIS</v>
      </c>
      <c r="C8" s="6" t="str">
        <f aca="false">Headcount!F8</f>
        <v>DIRECTO</v>
      </c>
      <c r="D8" s="6" t="str">
        <f aca="false">IF(AND(Headcount!H8&lt;=Parámetros!$B$2,Headcount!I8&lt;=Parámetros!$B$3,Headcount!J8&lt;=Parámetros!$B$4,Headcount!K8&lt;=Parámetros!$B$4,Headcount!L8&lt;=Parámetros!$B$5),"Sí","No")</f>
        <v>No</v>
      </c>
      <c r="E8" s="6" t="str">
        <f aca="false">IF(D8="Sí","Cumple todas las reglas",IF(Headcount!H8&gt;Parámetros!$B$2,"Faltas injustificadas: "&amp;Headcount!H8,IF(Headcount!I8&gt;Parámetros!$B$3,"Vacaciones: "&amp;Headcount!I8&amp;" días",IF(Headcount!J8&gt;Parámetros!$B$4,"Permisos con goce: "&amp;Headcount!J8,IF(Headcount!K8&gt;Parámetros!$B$4,"Permisos sin goce: "&amp;Headcount!K8,"Incapacidad: "&amp;Headcount!L8&amp;" días")))))</f>
        <v>Incapacidad: 16 días</v>
      </c>
      <c r="F8" s="6" t="str">
        <f aca="false">IF(D8="No","Excluido",IF(C8="DIRECTO","Bono_Directos","Bono_Indirectos"))</f>
        <v>Excluido</v>
      </c>
      <c r="G8" s="6" t="s">
        <v>132</v>
      </c>
    </row>
    <row r="9" customFormat="false" ht="15" hidden="false" customHeight="false" outlineLevel="0" collapsed="false">
      <c r="A9" s="6" t="n">
        <f aca="false">Headcount!A9</f>
        <v>1008</v>
      </c>
      <c r="B9" s="6" t="str">
        <f aca="false">Headcount!B9</f>
        <v>RICARDO IVAN FLORES DIAZ</v>
      </c>
      <c r="C9" s="6" t="str">
        <f aca="false">Headcount!F9</f>
        <v>DIRECTO</v>
      </c>
      <c r="D9" s="6" t="str">
        <f aca="false">IF(AND(Headcount!H9&lt;=Parámetros!$B$2,Headcount!I9&lt;=Parámetros!$B$3,Headcount!J9&lt;=Parámetros!$B$4,Headcount!K9&lt;=Parámetros!$B$4,Headcount!L9&lt;=Parámetros!$B$5),"Sí","No")</f>
        <v>No</v>
      </c>
      <c r="E9" s="6" t="str">
        <f aca="false">IF(D9="Sí","Cumple todas las reglas",IF(Headcount!H9&gt;Parámetros!$B$2,"Faltas injustificadas: "&amp;Headcount!H9,IF(Headcount!I9&gt;Parámetros!$B$3,"Vacaciones: "&amp;Headcount!I9&amp;" días",IF(Headcount!J9&gt;Parámetros!$B$4,"Permisos con goce: "&amp;Headcount!J9,IF(Headcount!K9&gt;Parámetros!$B$4,"Permisos sin goce: "&amp;Headcount!K9,"Incapacidad: "&amp;Headcount!L9&amp;" días")))))</f>
        <v>Permisos con goce: 1</v>
      </c>
      <c r="F9" s="6" t="str">
        <f aca="false">IF(D9="No","Excluido",IF(C9="DIRECTO","Bono_Directos","Bono_Indirectos"))</f>
        <v>Excluido</v>
      </c>
      <c r="G9" s="6" t="s">
        <v>133</v>
      </c>
    </row>
    <row r="10" customFormat="false" ht="15" hidden="false" customHeight="false" outlineLevel="0" collapsed="false">
      <c r="A10" s="6" t="n">
        <f aca="false">Headcount!A10</f>
        <v>1009</v>
      </c>
      <c r="B10" s="6" t="str">
        <f aca="false">Headcount!B10</f>
        <v>PAOLA ANDREA GUERRERO NUÑEZ</v>
      </c>
      <c r="C10" s="6" t="str">
        <f aca="false">Headcount!F10</f>
        <v>DIRECTO</v>
      </c>
      <c r="D10" s="6" t="str">
        <f aca="false">IF(AND(Headcount!H10&lt;=Parámetros!$B$2,Headcount!I10&lt;=Parámetros!$B$3,Headcount!J10&lt;=Parámetros!$B$4,Headcount!K10&lt;=Parámetros!$B$4,Headcount!L10&lt;=Parámetros!$B$5),"Sí","No")</f>
        <v>No</v>
      </c>
      <c r="E10" s="6" t="str">
        <f aca="false">IF(D10="Sí","Cumple todas las reglas",IF(Headcount!H10&gt;Parámetros!$B$2,"Faltas injustificadas: "&amp;Headcount!H10,IF(Headcount!I10&gt;Parámetros!$B$3,"Vacaciones: "&amp;Headcount!I10&amp;" días",IF(Headcount!J10&gt;Parámetros!$B$4,"Permisos con goce: "&amp;Headcount!J10,IF(Headcount!K10&gt;Parámetros!$B$4,"Permisos sin goce: "&amp;Headcount!K10,"Incapacidad: "&amp;Headcount!L10&amp;" días")))))</f>
        <v>Permisos sin goce: 2</v>
      </c>
      <c r="F10" s="6" t="str">
        <f aca="false">IF(D10="No","Excluido",IF(C10="DIRECTO","Bono_Directos","Bono_Indirectos"))</f>
        <v>Excluido</v>
      </c>
      <c r="G10" s="6" t="s">
        <v>134</v>
      </c>
    </row>
    <row r="11" customFormat="false" ht="15" hidden="false" customHeight="false" outlineLevel="0" collapsed="false">
      <c r="A11" s="6" t="n">
        <f aca="false">Headcount!A11</f>
        <v>1010</v>
      </c>
      <c r="B11" s="6" t="str">
        <f aca="false">Headcount!B11</f>
        <v>MIGUEL ANGEL ROMERO SALAS</v>
      </c>
      <c r="C11" s="6" t="str">
        <f aca="false">Headcount!F11</f>
        <v>DIRECTO</v>
      </c>
      <c r="D11" s="6" t="str">
        <f aca="false">IF(AND(Headcount!H11&lt;=Parámetros!$B$2,Headcount!I11&lt;=Parámetros!$B$3,Headcount!J11&lt;=Parámetros!$B$4,Headcount!K11&lt;=Parámetros!$B$4,Headcount!L11&lt;=Parámetros!$B$5),"Sí","No")</f>
        <v>Sí</v>
      </c>
      <c r="E11" s="6" t="str">
        <f aca="false">IF(D11="Sí","Cumple todas las reglas",IF(Headcount!H11&gt;Parámetros!$B$2,"Faltas injustificadas: "&amp;Headcount!H11,IF(Headcount!I11&gt;Parámetros!$B$3,"Vacaciones: "&amp;Headcount!I11&amp;" días",IF(Headcount!J11&gt;Parámetros!$B$4,"Permisos con goce: "&amp;Headcount!J11,IF(Headcount!K11&gt;Parámetros!$B$4,"Permisos sin goce: "&amp;Headcount!K11,"Incapacidad: "&amp;Headcount!L11&amp;" días")))))</f>
        <v>Cumple todas las reglas</v>
      </c>
      <c r="F11" s="6" t="str">
        <f aca="false">IF(D11="No","Excluido",IF(C11="DIRECTO","Bono_Directos","Bono_Indirectos"))</f>
        <v>Bono_Directos</v>
      </c>
      <c r="G11" s="6" t="s">
        <v>124</v>
      </c>
    </row>
    <row r="12" customFormat="false" ht="15" hidden="false" customHeight="false" outlineLevel="0" collapsed="false">
      <c r="A12" s="6" t="n">
        <f aca="false">Headcount!A12</f>
        <v>1011</v>
      </c>
      <c r="B12" s="6" t="str">
        <f aca="false">Headcount!B12</f>
        <v>KARLA JIMENA ACOSTA PEÑA</v>
      </c>
      <c r="C12" s="6" t="str">
        <f aca="false">Headcount!F12</f>
        <v>DIRECTO</v>
      </c>
      <c r="D12" s="6" t="str">
        <f aca="false">IF(AND(Headcount!H12&lt;=Parámetros!$B$2,Headcount!I12&lt;=Parámetros!$B$3,Headcount!J12&lt;=Parámetros!$B$4,Headcount!K12&lt;=Parámetros!$B$4,Headcount!L12&lt;=Parámetros!$B$5),"Sí","No")</f>
        <v>Sí</v>
      </c>
      <c r="E12" s="6" t="str">
        <f aca="false">IF(D12="Sí","Cumple todas las reglas",IF(Headcount!H12&gt;Parámetros!$B$2,"Faltas injustificadas: "&amp;Headcount!H12,IF(Headcount!I12&gt;Parámetros!$B$3,"Vacaciones: "&amp;Headcount!I12&amp;" días",IF(Headcount!J12&gt;Parámetros!$B$4,"Permisos con goce: "&amp;Headcount!J12,IF(Headcount!K12&gt;Parámetros!$B$4,"Permisos sin goce: "&amp;Headcount!K12,"Incapacidad: "&amp;Headcount!L12&amp;" días")))))</f>
        <v>Cumple todas las reglas</v>
      </c>
      <c r="F12" s="6" t="str">
        <f aca="false">IF(D12="No","Excluido",IF(C12="DIRECTO","Bono_Directos","Bono_Indirectos"))</f>
        <v>Bono_Directos</v>
      </c>
      <c r="G12" s="6" t="s">
        <v>124</v>
      </c>
    </row>
    <row r="13" customFormat="false" ht="15" hidden="false" customHeight="false" outlineLevel="0" collapsed="false">
      <c r="A13" s="6" t="n">
        <f aca="false">Headcount!A13</f>
        <v>1012</v>
      </c>
      <c r="B13" s="6" t="str">
        <f aca="false">Headcount!B13</f>
        <v>FERNANDO JAVIER IBARRA CRUZ</v>
      </c>
      <c r="C13" s="6" t="str">
        <f aca="false">Headcount!F13</f>
        <v>DIRECTO</v>
      </c>
      <c r="D13" s="6" t="str">
        <f aca="false">IF(AND(Headcount!H13&lt;=Parámetros!$B$2,Headcount!I13&lt;=Parámetros!$B$3,Headcount!J13&lt;=Parámetros!$B$4,Headcount!K13&lt;=Parámetros!$B$4,Headcount!L13&lt;=Parámetros!$B$5),"Sí","No")</f>
        <v>Sí</v>
      </c>
      <c r="E13" s="6" t="str">
        <f aca="false">IF(D13="Sí","Cumple todas las reglas",IF(Headcount!H13&gt;Parámetros!$B$2,"Faltas injustificadas: "&amp;Headcount!H13,IF(Headcount!I13&gt;Parámetros!$B$3,"Vacaciones: "&amp;Headcount!I13&amp;" días",IF(Headcount!J13&gt;Parámetros!$B$4,"Permisos con goce: "&amp;Headcount!J13,IF(Headcount!K13&gt;Parámetros!$B$4,"Permisos sin goce: "&amp;Headcount!K13,"Incapacidad: "&amp;Headcount!L13&amp;" días")))))</f>
        <v>Cumple todas las reglas</v>
      </c>
      <c r="F13" s="6" t="str">
        <f aca="false">IF(D13="No","Excluido",IF(C13="DIRECTO","Bono_Directos","Bono_Indirectos"))</f>
        <v>Bono_Directos</v>
      </c>
      <c r="G13" s="6" t="s">
        <v>124</v>
      </c>
    </row>
    <row r="14" customFormat="false" ht="15" hidden="false" customHeight="false" outlineLevel="0" collapsed="false">
      <c r="A14" s="6" t="n">
        <f aca="false">Headcount!A14</f>
        <v>1013</v>
      </c>
      <c r="B14" s="6" t="str">
        <f aca="false">Headcount!B14</f>
        <v>VALERIA MONSERRAT LARA RIOS</v>
      </c>
      <c r="C14" s="6" t="str">
        <f aca="false">Headcount!F14</f>
        <v>DIRECTO</v>
      </c>
      <c r="D14" s="6" t="str">
        <f aca="false">IF(AND(Headcount!H14&lt;=Parámetros!$B$2,Headcount!I14&lt;=Parámetros!$B$3,Headcount!J14&lt;=Parámetros!$B$4,Headcount!K14&lt;=Parámetros!$B$4,Headcount!L14&lt;=Parámetros!$B$5),"Sí","No")</f>
        <v>Sí</v>
      </c>
      <c r="E14" s="6" t="str">
        <f aca="false">IF(D14="Sí","Cumple todas las reglas",IF(Headcount!H14&gt;Parámetros!$B$2,"Faltas injustificadas: "&amp;Headcount!H14,IF(Headcount!I14&gt;Parámetros!$B$3,"Vacaciones: "&amp;Headcount!I14&amp;" días",IF(Headcount!J14&gt;Parámetros!$B$4,"Permisos con goce: "&amp;Headcount!J14,IF(Headcount!K14&gt;Parámetros!$B$4,"Permisos sin goce: "&amp;Headcount!K14,"Incapacidad: "&amp;Headcount!L14&amp;" días")))))</f>
        <v>Cumple todas las reglas</v>
      </c>
      <c r="F14" s="6" t="str">
        <f aca="false">IF(D14="No","Excluido",IF(C14="DIRECTO","Bono_Directos","Bono_Indirectos"))</f>
        <v>Bono_Directos</v>
      </c>
      <c r="G14" s="6" t="s">
        <v>124</v>
      </c>
    </row>
    <row r="15" customFormat="false" ht="15" hidden="false" customHeight="false" outlineLevel="0" collapsed="false">
      <c r="A15" s="6" t="n">
        <f aca="false">Headcount!A15</f>
        <v>1014</v>
      </c>
      <c r="B15" s="6" t="str">
        <f aca="false">Headcount!B15</f>
        <v>OSCAR DANIEL VILLA HERRERA</v>
      </c>
      <c r="C15" s="6" t="str">
        <f aca="false">Headcount!F15</f>
        <v>DIRECTO</v>
      </c>
      <c r="D15" s="6" t="str">
        <f aca="false">IF(AND(Headcount!H15&lt;=Parámetros!$B$2,Headcount!I15&lt;=Parámetros!$B$3,Headcount!J15&lt;=Parámetros!$B$4,Headcount!K15&lt;=Parámetros!$B$4,Headcount!L15&lt;=Parámetros!$B$5),"Sí","No")</f>
        <v>Sí</v>
      </c>
      <c r="E15" s="6" t="str">
        <f aca="false">IF(D15="Sí","Cumple todas las reglas",IF(Headcount!H15&gt;Parámetros!$B$2,"Faltas injustificadas: "&amp;Headcount!H15,IF(Headcount!I15&gt;Parámetros!$B$3,"Vacaciones: "&amp;Headcount!I15&amp;" días",IF(Headcount!J15&gt;Parámetros!$B$4,"Permisos con goce: "&amp;Headcount!J15,IF(Headcount!K15&gt;Parámetros!$B$4,"Permisos sin goce: "&amp;Headcount!K15,"Incapacidad: "&amp;Headcount!L15&amp;" días")))))</f>
        <v>Cumple todas las reglas</v>
      </c>
      <c r="F15" s="6" t="str">
        <f aca="false">IF(D15="No","Excluido",IF(C15="DIRECTO","Bono_Directos","Bono_Indirectos"))</f>
        <v>Bono_Directos</v>
      </c>
      <c r="G15" s="6" t="s">
        <v>124</v>
      </c>
    </row>
    <row r="16" customFormat="false" ht="15" hidden="false" customHeight="false" outlineLevel="0" collapsed="false">
      <c r="A16" s="6" t="n">
        <f aca="false">Headcount!A16</f>
        <v>1015</v>
      </c>
      <c r="B16" s="6" t="str">
        <f aca="false">Headcount!B16</f>
        <v>ALEJANDRA ISABEL MEJIA TORRES</v>
      </c>
      <c r="C16" s="6" t="str">
        <f aca="false">Headcount!F16</f>
        <v>DIRECTO</v>
      </c>
      <c r="D16" s="6" t="str">
        <f aca="false">IF(AND(Headcount!H16&lt;=Parámetros!$B$2,Headcount!I16&lt;=Parámetros!$B$3,Headcount!J16&lt;=Parámetros!$B$4,Headcount!K16&lt;=Parámetros!$B$4,Headcount!L16&lt;=Parámetros!$B$5),"Sí","No")</f>
        <v>Sí</v>
      </c>
      <c r="E16" s="6" t="str">
        <f aca="false">IF(D16="Sí","Cumple todas las reglas",IF(Headcount!H16&gt;Parámetros!$B$2,"Faltas injustificadas: "&amp;Headcount!H16,IF(Headcount!I16&gt;Parámetros!$B$3,"Vacaciones: "&amp;Headcount!I16&amp;" días",IF(Headcount!J16&gt;Parámetros!$B$4,"Permisos con goce: "&amp;Headcount!J16,IF(Headcount!K16&gt;Parámetros!$B$4,"Permisos sin goce: "&amp;Headcount!K16,"Incapacidad: "&amp;Headcount!L16&amp;" días")))))</f>
        <v>Cumple todas las reglas</v>
      </c>
      <c r="F16" s="6" t="str">
        <f aca="false">IF(D16="No","Excluido",IF(C16="DIRECTO","Bono_Directos","Bono_Indirectos"))</f>
        <v>Bono_Directos</v>
      </c>
      <c r="G16" s="6" t="s">
        <v>124</v>
      </c>
    </row>
    <row r="17" customFormat="false" ht="15" hidden="false" customHeight="false" outlineLevel="0" collapsed="false">
      <c r="A17" s="6" t="n">
        <f aca="false">Headcount!A17</f>
        <v>1016</v>
      </c>
      <c r="B17" s="6" t="str">
        <f aca="false">Headcount!B17</f>
        <v>SERGIO ARTURO CAMPOS AVILA</v>
      </c>
      <c r="C17" s="6" t="str">
        <f aca="false">Headcount!F17</f>
        <v>DIRECTO</v>
      </c>
      <c r="D17" s="6" t="str">
        <f aca="false">IF(AND(Headcount!H17&lt;=Parámetros!$B$2,Headcount!I17&lt;=Parámetros!$B$3,Headcount!J17&lt;=Parámetros!$B$4,Headcount!K17&lt;=Parámetros!$B$4,Headcount!L17&lt;=Parámetros!$B$5),"Sí","No")</f>
        <v>Sí</v>
      </c>
      <c r="E17" s="6" t="str">
        <f aca="false">IF(D17="Sí","Cumple todas las reglas",IF(Headcount!H17&gt;Parámetros!$B$2,"Faltas injustificadas: "&amp;Headcount!H17,IF(Headcount!I17&gt;Parámetros!$B$3,"Vacaciones: "&amp;Headcount!I17&amp;" días",IF(Headcount!J17&gt;Parámetros!$B$4,"Permisos con goce: "&amp;Headcount!J17,IF(Headcount!K17&gt;Parámetros!$B$4,"Permisos sin goce: "&amp;Headcount!K17,"Incapacidad: "&amp;Headcount!L17&amp;" días")))))</f>
        <v>Cumple todas las reglas</v>
      </c>
      <c r="F17" s="6" t="str">
        <f aca="false">IF(D17="No","Excluido",IF(C17="DIRECTO","Bono_Directos","Bono_Indirectos"))</f>
        <v>Bono_Directos</v>
      </c>
      <c r="G17" s="6" t="s">
        <v>124</v>
      </c>
    </row>
    <row r="18" customFormat="false" ht="15" hidden="false" customHeight="false" outlineLevel="0" collapsed="false">
      <c r="A18" s="6" t="n">
        <f aca="false">Headcount!A18</f>
        <v>1017</v>
      </c>
      <c r="B18" s="6" t="str">
        <f aca="false">Headcount!B18</f>
        <v>NATALIA BEATRIZ DOMINGUEZ GIL</v>
      </c>
      <c r="C18" s="6" t="str">
        <f aca="false">Headcount!F18</f>
        <v>DIRECTO</v>
      </c>
      <c r="D18" s="6" t="str">
        <f aca="false">IF(AND(Headcount!H18&lt;=Parámetros!$B$2,Headcount!I18&lt;=Parámetros!$B$3,Headcount!J18&lt;=Parámetros!$B$4,Headcount!K18&lt;=Parámetros!$B$4,Headcount!L18&lt;=Parámetros!$B$5),"Sí","No")</f>
        <v>Sí</v>
      </c>
      <c r="E18" s="6" t="str">
        <f aca="false">IF(D18="Sí","Cumple todas las reglas",IF(Headcount!H18&gt;Parámetros!$B$2,"Faltas injustificadas: "&amp;Headcount!H18,IF(Headcount!I18&gt;Parámetros!$B$3,"Vacaciones: "&amp;Headcount!I18&amp;" días",IF(Headcount!J18&gt;Parámetros!$B$4,"Permisos con goce: "&amp;Headcount!J18,IF(Headcount!K18&gt;Parámetros!$B$4,"Permisos sin goce: "&amp;Headcount!K18,"Incapacidad: "&amp;Headcount!L18&amp;" días")))))</f>
        <v>Cumple todas las reglas</v>
      </c>
      <c r="F18" s="6" t="str">
        <f aca="false">IF(D18="No","Excluido",IF(C18="DIRECTO","Bono_Directos","Bono_Indirectos"))</f>
        <v>Bono_Directos</v>
      </c>
      <c r="G18" s="6" t="s">
        <v>124</v>
      </c>
    </row>
    <row r="19" customFormat="false" ht="15" hidden="false" customHeight="false" outlineLevel="0" collapsed="false">
      <c r="A19" s="6" t="n">
        <f aca="false">Headcount!A19</f>
        <v>1018</v>
      </c>
      <c r="B19" s="6" t="str">
        <f aca="false">Headcount!B19</f>
        <v>HECTOR MANUEL PACHECO ROJAS</v>
      </c>
      <c r="C19" s="6" t="str">
        <f aca="false">Headcount!F19</f>
        <v>DIRECTO</v>
      </c>
      <c r="D19" s="6" t="str">
        <f aca="false">IF(AND(Headcount!H19&lt;=Parámetros!$B$2,Headcount!I19&lt;=Parámetros!$B$3,Headcount!J19&lt;=Parámetros!$B$4,Headcount!K19&lt;=Parámetros!$B$4,Headcount!L19&lt;=Parámetros!$B$5),"Sí","No")</f>
        <v>Sí</v>
      </c>
      <c r="E19" s="6" t="str">
        <f aca="false">IF(D19="Sí","Cumple todas las reglas",IF(Headcount!H19&gt;Parámetros!$B$2,"Faltas injustificadas: "&amp;Headcount!H19,IF(Headcount!I19&gt;Parámetros!$B$3,"Vacaciones: "&amp;Headcount!I19&amp;" días",IF(Headcount!J19&gt;Parámetros!$B$4,"Permisos con goce: "&amp;Headcount!J19,IF(Headcount!K19&gt;Parámetros!$B$4,"Permisos sin goce: "&amp;Headcount!K19,"Incapacidad: "&amp;Headcount!L19&amp;" días")))))</f>
        <v>Cumple todas las reglas</v>
      </c>
      <c r="F19" s="6" t="str">
        <f aca="false">IF(D19="No","Excluido",IF(C19="DIRECTO","Bono_Directos","Bono_Indirectos"))</f>
        <v>Bono_Directos</v>
      </c>
      <c r="G19" s="6" t="s">
        <v>124</v>
      </c>
    </row>
    <row r="20" customFormat="false" ht="15" hidden="false" customHeight="false" outlineLevel="0" collapsed="false">
      <c r="A20" s="6" t="n">
        <f aca="false">Headcount!A20</f>
        <v>1019</v>
      </c>
      <c r="B20" s="6" t="str">
        <f aca="false">Headcount!B20</f>
        <v>ANDREA CAROLINA BRAVO SANDOVAL</v>
      </c>
      <c r="C20" s="6" t="str">
        <f aca="false">Headcount!F20</f>
        <v>DIRECTO</v>
      </c>
      <c r="D20" s="6" t="str">
        <f aca="false">IF(AND(Headcount!H20&lt;=Parámetros!$B$2,Headcount!I20&lt;=Parámetros!$B$3,Headcount!J20&lt;=Parámetros!$B$4,Headcount!K20&lt;=Parámetros!$B$4,Headcount!L20&lt;=Parámetros!$B$5),"Sí","No")</f>
        <v>Sí</v>
      </c>
      <c r="E20" s="6" t="str">
        <f aca="false">IF(D20="Sí","Cumple todas las reglas",IF(Headcount!H20&gt;Parámetros!$B$2,"Faltas injustificadas: "&amp;Headcount!H20,IF(Headcount!I20&gt;Parámetros!$B$3,"Vacaciones: "&amp;Headcount!I20&amp;" días",IF(Headcount!J20&gt;Parámetros!$B$4,"Permisos con goce: "&amp;Headcount!J20,IF(Headcount!K20&gt;Parámetros!$B$4,"Permisos sin goce: "&amp;Headcount!K20,"Incapacidad: "&amp;Headcount!L20&amp;" días")))))</f>
        <v>Cumple todas las reglas</v>
      </c>
      <c r="F20" s="6" t="str">
        <f aca="false">IF(D20="No","Excluido",IF(C20="DIRECTO","Bono_Directos","Bono_Indirectos"))</f>
        <v>Bono_Directos</v>
      </c>
      <c r="G20" s="6" t="s">
        <v>124</v>
      </c>
    </row>
    <row r="21" customFormat="false" ht="15" hidden="false" customHeight="false" outlineLevel="0" collapsed="false">
      <c r="A21" s="6" t="n">
        <f aca="false">Headcount!A21</f>
        <v>1020</v>
      </c>
      <c r="B21" s="6" t="str">
        <f aca="false">Headcount!B21</f>
        <v>EDUARDO RAFAEL CORDOVA MEZA</v>
      </c>
      <c r="C21" s="6" t="str">
        <f aca="false">Headcount!F21</f>
        <v>DIRECTO</v>
      </c>
      <c r="D21" s="6" t="str">
        <f aca="false">IF(AND(Headcount!H21&lt;=Parámetros!$B$2,Headcount!I21&lt;=Parámetros!$B$3,Headcount!J21&lt;=Parámetros!$B$4,Headcount!K21&lt;=Parámetros!$B$4,Headcount!L21&lt;=Parámetros!$B$5),"Sí","No")</f>
        <v>Sí</v>
      </c>
      <c r="E21" s="6" t="str">
        <f aca="false">IF(D21="Sí","Cumple todas las reglas",IF(Headcount!H21&gt;Parámetros!$B$2,"Faltas injustificadas: "&amp;Headcount!H21,IF(Headcount!I21&gt;Parámetros!$B$3,"Vacaciones: "&amp;Headcount!I21&amp;" días",IF(Headcount!J21&gt;Parámetros!$B$4,"Permisos con goce: "&amp;Headcount!J21,IF(Headcount!K21&gt;Parámetros!$B$4,"Permisos sin goce: "&amp;Headcount!K21,"Incapacidad: "&amp;Headcount!L21&amp;" días")))))</f>
        <v>Cumple todas las reglas</v>
      </c>
      <c r="F21" s="6" t="str">
        <f aca="false">IF(D21="No","Excluido",IF(C21="DIRECTO","Bono_Directos","Bono_Indirectos"))</f>
        <v>Bono_Directos</v>
      </c>
      <c r="G21" s="6" t="s">
        <v>124</v>
      </c>
    </row>
    <row r="22" customFormat="false" ht="15" hidden="false" customHeight="false" outlineLevel="0" collapsed="false">
      <c r="A22" s="6" t="n">
        <f aca="false">Headcount!A22</f>
        <v>2001</v>
      </c>
      <c r="B22" s="6" t="str">
        <f aca="false">Headcount!B22</f>
        <v>ROSA ELENA MARTINEZ ESPINOZA</v>
      </c>
      <c r="C22" s="6" t="str">
        <f aca="false">Headcount!F22</f>
        <v>INDIRECTO</v>
      </c>
      <c r="D22" s="6" t="str">
        <f aca="false">IF(AND(Headcount!H22&lt;=Parámetros!$B$2,Headcount!I22&lt;=Parámetros!$B$3,Headcount!J22&lt;=Parámetros!$B$4,Headcount!K22&lt;=Parámetros!$B$4,Headcount!L22&lt;=Parámetros!$B$5),"Sí","No")</f>
        <v>Sí</v>
      </c>
      <c r="E22" s="6" t="str">
        <f aca="false">IF(D22="Sí","Cumple todas las reglas",IF(Headcount!H22&gt;Parámetros!$B$2,"Faltas injustificadas: "&amp;Headcount!H22,IF(Headcount!I22&gt;Parámetros!$B$3,"Vacaciones: "&amp;Headcount!I22&amp;" días",IF(Headcount!J22&gt;Parámetros!$B$4,"Permisos con goce: "&amp;Headcount!J22,IF(Headcount!K22&gt;Parámetros!$B$4,"Permisos sin goce: "&amp;Headcount!K22,"Incapacidad: "&amp;Headcount!L22&amp;" días")))))</f>
        <v>Cumple todas las reglas</v>
      </c>
      <c r="F22" s="6" t="str">
        <f aca="false">IF(D22="No","Excluido",IF(C22="DIRECTO","Bono_Directos","Bono_Indirectos"))</f>
        <v>Bono_Indirectos</v>
      </c>
      <c r="G22" s="6" t="s">
        <v>124</v>
      </c>
    </row>
    <row r="23" customFormat="false" ht="15" hidden="false" customHeight="false" outlineLevel="0" collapsed="false">
      <c r="A23" s="6" t="n">
        <f aca="false">Headcount!A23</f>
        <v>2002</v>
      </c>
      <c r="B23" s="6" t="str">
        <f aca="false">Headcount!B23</f>
        <v>JAVIER ENRIQUE SALAZAR BUSTOS</v>
      </c>
      <c r="C23" s="6" t="str">
        <f aca="false">Headcount!F23</f>
        <v>INDIRECTO</v>
      </c>
      <c r="D23" s="6" t="str">
        <f aca="false">IF(AND(Headcount!H23&lt;=Parámetros!$B$2,Headcount!I23&lt;=Parámetros!$B$3,Headcount!J23&lt;=Parámetros!$B$4,Headcount!K23&lt;=Parámetros!$B$4,Headcount!L23&lt;=Parámetros!$B$5),"Sí","No")</f>
        <v>Sí</v>
      </c>
      <c r="E23" s="6" t="str">
        <f aca="false">IF(D23="Sí","Cumple todas las reglas",IF(Headcount!H23&gt;Parámetros!$B$2,"Faltas injustificadas: "&amp;Headcount!H23,IF(Headcount!I23&gt;Parámetros!$B$3,"Vacaciones: "&amp;Headcount!I23&amp;" días",IF(Headcount!J23&gt;Parámetros!$B$4,"Permisos con goce: "&amp;Headcount!J23,IF(Headcount!K23&gt;Parámetros!$B$4,"Permisos sin goce: "&amp;Headcount!K23,"Incapacidad: "&amp;Headcount!L23&amp;" días")))))</f>
        <v>Cumple todas las reglas</v>
      </c>
      <c r="F23" s="6" t="str">
        <f aca="false">IF(D23="No","Excluido",IF(C23="DIRECTO","Bono_Directos","Bono_Indirectos"))</f>
        <v>Bono_Indirectos</v>
      </c>
      <c r="G23" s="6" t="s">
        <v>124</v>
      </c>
    </row>
    <row r="24" customFormat="false" ht="15" hidden="false" customHeight="false" outlineLevel="0" collapsed="false">
      <c r="A24" s="6" t="n">
        <f aca="false">Headcount!A24</f>
        <v>2003</v>
      </c>
      <c r="B24" s="6" t="str">
        <f aca="false">Headcount!B24</f>
        <v>GABRIELA NOEMI FUENTES OCHOA</v>
      </c>
      <c r="C24" s="6" t="str">
        <f aca="false">Headcount!F24</f>
        <v>INDIRECTO</v>
      </c>
      <c r="D24" s="6" t="str">
        <f aca="false">IF(AND(Headcount!H24&lt;=Parámetros!$B$2,Headcount!I24&lt;=Parámetros!$B$3,Headcount!J24&lt;=Parámetros!$B$4,Headcount!K24&lt;=Parámetros!$B$4,Headcount!L24&lt;=Parámetros!$B$5),"Sí","No")</f>
        <v>No</v>
      </c>
      <c r="E24" s="6" t="str">
        <f aca="false">IF(D24="Sí","Cumple todas las reglas",IF(Headcount!H24&gt;Parámetros!$B$2,"Faltas injustificadas: "&amp;Headcount!H24,IF(Headcount!I24&gt;Parámetros!$B$3,"Vacaciones: "&amp;Headcount!I24&amp;" días",IF(Headcount!J24&gt;Parámetros!$B$4,"Permisos con goce: "&amp;Headcount!J24,IF(Headcount!K24&gt;Parámetros!$B$4,"Permisos sin goce: "&amp;Headcount!K24,"Incapacidad: "&amp;Headcount!L24&amp;" días")))))</f>
        <v>Faltas injustificadas: 2</v>
      </c>
      <c r="F24" s="6" t="str">
        <f aca="false">IF(D24="No","Excluido",IF(C24="DIRECTO","Bono_Directos","Bono_Indirectos"))</f>
        <v>Excluido</v>
      </c>
      <c r="G24" s="6" t="s">
        <v>135</v>
      </c>
    </row>
    <row r="25" customFormat="false" ht="15" hidden="false" customHeight="false" outlineLevel="0" collapsed="false">
      <c r="A25" s="6" t="n">
        <f aca="false">Headcount!A25</f>
        <v>2004</v>
      </c>
      <c r="B25" s="6" t="str">
        <f aca="false">Headcount!B25</f>
        <v>ROBERTO CARLOS AGUILAR VALDEZ</v>
      </c>
      <c r="C25" s="6" t="str">
        <f aca="false">Headcount!F25</f>
        <v>INDIRECTO</v>
      </c>
      <c r="D25" s="6" t="str">
        <f aca="false">IF(AND(Headcount!H25&lt;=Parámetros!$B$2,Headcount!I25&lt;=Parámetros!$B$3,Headcount!J25&lt;=Parámetros!$B$4,Headcount!K25&lt;=Parámetros!$B$4,Headcount!L25&lt;=Parámetros!$B$5),"Sí","No")</f>
        <v>Sí</v>
      </c>
      <c r="E25" s="6" t="str">
        <f aca="false">IF(D25="Sí","Cumple todas las reglas",IF(Headcount!H25&gt;Parámetros!$B$2,"Faltas injustificadas: "&amp;Headcount!H25,IF(Headcount!I25&gt;Parámetros!$B$3,"Vacaciones: "&amp;Headcount!I25&amp;" días",IF(Headcount!J25&gt;Parámetros!$B$4,"Permisos con goce: "&amp;Headcount!J25,IF(Headcount!K25&gt;Parámetros!$B$4,"Permisos sin goce: "&amp;Headcount!K25,"Incapacidad: "&amp;Headcount!L25&amp;" días")))))</f>
        <v>Cumple todas las reglas</v>
      </c>
      <c r="F25" s="6" t="str">
        <f aca="false">IF(D25="No","Excluido",IF(C25="DIRECTO","Bono_Directos","Bono_Indirectos"))</f>
        <v>Bono_Indirectos</v>
      </c>
      <c r="G25" s="6" t="s">
        <v>131</v>
      </c>
    </row>
    <row r="26" customFormat="false" ht="15" hidden="false" customHeight="false" outlineLevel="0" collapsed="false">
      <c r="A26" s="6" t="n">
        <f aca="false">Headcount!A26</f>
        <v>2005</v>
      </c>
      <c r="B26" s="6" t="str">
        <f aca="false">Headcount!B26</f>
        <v>ISABEL CRISTINA DURAN ZAMORA</v>
      </c>
      <c r="C26" s="6" t="str">
        <f aca="false">Headcount!F26</f>
        <v>INDIRECTO</v>
      </c>
      <c r="D26" s="6" t="str">
        <f aca="false">IF(AND(Headcount!H26&lt;=Parámetros!$B$2,Headcount!I26&lt;=Parámetros!$B$3,Headcount!J26&lt;=Parámetros!$B$4,Headcount!K26&lt;=Parámetros!$B$4,Headcount!L26&lt;=Parámetros!$B$5),"Sí","No")</f>
        <v>No</v>
      </c>
      <c r="E26" s="6" t="str">
        <f aca="false">IF(D26="Sí","Cumple todas las reglas",IF(Headcount!H26&gt;Parámetros!$B$2,"Faltas injustificadas: "&amp;Headcount!H26,IF(Headcount!I26&gt;Parámetros!$B$3,"Vacaciones: "&amp;Headcount!I26&amp;" días",IF(Headcount!J26&gt;Parámetros!$B$4,"Permisos con goce: "&amp;Headcount!J26,IF(Headcount!K26&gt;Parámetros!$B$4,"Permisos sin goce: "&amp;Headcount!K26,"Incapacidad: "&amp;Headcount!L26&amp;" días")))))</f>
        <v>Vacaciones: 20 días</v>
      </c>
      <c r="F26" s="6" t="str">
        <f aca="false">IF(D26="No","Excluido",IF(C26="DIRECTO","Bono_Directos","Bono_Indirectos"))</f>
        <v>Excluido</v>
      </c>
      <c r="G26" s="6" t="s">
        <v>136</v>
      </c>
    </row>
    <row r="27" customFormat="false" ht="15" hidden="false" customHeight="false" outlineLevel="0" collapsed="false">
      <c r="A27" s="6" t="n">
        <f aca="false">Headcount!A27</f>
        <v>2006</v>
      </c>
      <c r="B27" s="6" t="str">
        <f aca="false">Headcount!B27</f>
        <v>TOMAS ALEJANDRO RUBIO ESCOBAR</v>
      </c>
      <c r="C27" s="6" t="str">
        <f aca="false">Headcount!F27</f>
        <v>INDIRECTO</v>
      </c>
      <c r="D27" s="6" t="str">
        <f aca="false">IF(AND(Headcount!H27&lt;=Parámetros!$B$2,Headcount!I27&lt;=Parámetros!$B$3,Headcount!J27&lt;=Parámetros!$B$4,Headcount!K27&lt;=Parámetros!$B$4,Headcount!L27&lt;=Parámetros!$B$5),"Sí","No")</f>
        <v>Sí</v>
      </c>
      <c r="E27" s="6" t="str">
        <f aca="false">IF(D27="Sí","Cumple todas las reglas",IF(Headcount!H27&gt;Parámetros!$B$2,"Faltas injustificadas: "&amp;Headcount!H27,IF(Headcount!I27&gt;Parámetros!$B$3,"Vacaciones: "&amp;Headcount!I27&amp;" días",IF(Headcount!J27&gt;Parámetros!$B$4,"Permisos con goce: "&amp;Headcount!J27,IF(Headcount!K27&gt;Parámetros!$B$4,"Permisos sin goce: "&amp;Headcount!K27,"Incapacidad: "&amp;Headcount!L27&amp;" días")))))</f>
        <v>Cumple todas las reglas</v>
      </c>
      <c r="F27" s="6" t="str">
        <f aca="false">IF(D27="No","Excluido",IF(C27="DIRECTO","Bono_Directos","Bono_Indirectos"))</f>
        <v>Bono_Indirectos</v>
      </c>
      <c r="G27" s="6" t="s">
        <v>124</v>
      </c>
    </row>
    <row r="28" customFormat="false" ht="15" hidden="false" customHeight="false" outlineLevel="0" collapsed="false">
      <c r="A28" s="6" t="n">
        <f aca="false">Headcount!A28</f>
        <v>2007</v>
      </c>
      <c r="B28" s="6" t="str">
        <f aca="false">Headcount!B28</f>
        <v>MONICA LETICIA CARRILLO PONCE</v>
      </c>
      <c r="C28" s="6" t="str">
        <f aca="false">Headcount!F28</f>
        <v>INDIRECTO</v>
      </c>
      <c r="D28" s="6" t="str">
        <f aca="false">IF(AND(Headcount!H28&lt;=Parámetros!$B$2,Headcount!I28&lt;=Parámetros!$B$3,Headcount!J28&lt;=Parámetros!$B$4,Headcount!K28&lt;=Parámetros!$B$4,Headcount!L28&lt;=Parámetros!$B$5),"Sí","No")</f>
        <v>Sí</v>
      </c>
      <c r="E28" s="6" t="str">
        <f aca="false">IF(D28="Sí","Cumple todas las reglas",IF(Headcount!H28&gt;Parámetros!$B$2,"Faltas injustificadas: "&amp;Headcount!H28,IF(Headcount!I28&gt;Parámetros!$B$3,"Vacaciones: "&amp;Headcount!I28&amp;" días",IF(Headcount!J28&gt;Parámetros!$B$4,"Permisos con goce: "&amp;Headcount!J28,IF(Headcount!K28&gt;Parámetros!$B$4,"Permisos sin goce: "&amp;Headcount!K28,"Incapacidad: "&amp;Headcount!L28&amp;" días")))))</f>
        <v>Cumple todas las reglas</v>
      </c>
      <c r="F28" s="6" t="str">
        <f aca="false">IF(D28="No","Excluido",IF(C28="DIRECTO","Bono_Directos","Bono_Indirectos"))</f>
        <v>Bono_Indirectos</v>
      </c>
      <c r="G28" s="6" t="s">
        <v>124</v>
      </c>
    </row>
    <row r="29" customFormat="false" ht="15" hidden="false" customHeight="false" outlineLevel="0" collapsed="false">
      <c r="A29" s="6" t="n">
        <f aca="false">Headcount!A29</f>
        <v>2008</v>
      </c>
      <c r="B29" s="6" t="str">
        <f aca="false">Headcount!B29</f>
        <v>PABLO ESTEBAN MOLINA ARCE</v>
      </c>
      <c r="C29" s="6" t="str">
        <f aca="false">Headcount!F29</f>
        <v>INDIRECTO</v>
      </c>
      <c r="D29" s="6" t="str">
        <f aca="false">IF(AND(Headcount!H29&lt;=Parámetros!$B$2,Headcount!I29&lt;=Parámetros!$B$3,Headcount!J29&lt;=Parámetros!$B$4,Headcount!K29&lt;=Parámetros!$B$4,Headcount!L29&lt;=Parámetros!$B$5),"Sí","No")</f>
        <v>No</v>
      </c>
      <c r="E29" s="6" t="str">
        <f aca="false">IF(D29="Sí","Cumple todas las reglas",IF(Headcount!H29&gt;Parámetros!$B$2,"Faltas injustificadas: "&amp;Headcount!H29,IF(Headcount!I29&gt;Parámetros!$B$3,"Vacaciones: "&amp;Headcount!I29&amp;" días",IF(Headcount!J29&gt;Parámetros!$B$4,"Permisos con goce: "&amp;Headcount!J29,IF(Headcount!K29&gt;Parámetros!$B$4,"Permisos sin goce: "&amp;Headcount!K29,"Incapacidad: "&amp;Headcount!L29&amp;" días")))))</f>
        <v>Permisos sin goce: 1</v>
      </c>
      <c r="F29" s="6" t="str">
        <f aca="false">IF(D29="No","Excluido",IF(C29="DIRECTO","Bono_Directos","Bono_Indirectos"))</f>
        <v>Excluido</v>
      </c>
      <c r="G29" s="6" t="s">
        <v>137</v>
      </c>
    </row>
    <row r="30" customFormat="false" ht="15" hidden="false" customHeight="false" outlineLevel="0" collapsed="false">
      <c r="A30" s="6" t="n">
        <f aca="false">Headcount!A30</f>
        <v>2009</v>
      </c>
      <c r="B30" s="6" t="str">
        <f aca="false">Headcount!B30</f>
        <v>LAURA VERONICA ESTRADA LIMON</v>
      </c>
      <c r="C30" s="6" t="str">
        <f aca="false">Headcount!F30</f>
        <v>INDIRECTO</v>
      </c>
      <c r="D30" s="6" t="str">
        <f aca="false">IF(AND(Headcount!H30&lt;=Parámetros!$B$2,Headcount!I30&lt;=Parámetros!$B$3,Headcount!J30&lt;=Parámetros!$B$4,Headcount!K30&lt;=Parámetros!$B$4,Headcount!L30&lt;=Parámetros!$B$5),"Sí","No")</f>
        <v>Sí</v>
      </c>
      <c r="E30" s="6" t="str">
        <f aca="false">IF(D30="Sí","Cumple todas las reglas",IF(Headcount!H30&gt;Parámetros!$B$2,"Faltas injustificadas: "&amp;Headcount!H30,IF(Headcount!I30&gt;Parámetros!$B$3,"Vacaciones: "&amp;Headcount!I30&amp;" días",IF(Headcount!J30&gt;Parámetros!$B$4,"Permisos con goce: "&amp;Headcount!J30,IF(Headcount!K30&gt;Parámetros!$B$4,"Permisos sin goce: "&amp;Headcount!K30,"Incapacidad: "&amp;Headcount!L30&amp;" días")))))</f>
        <v>Cumple todas las reglas</v>
      </c>
      <c r="F30" s="6" t="str">
        <f aca="false">IF(D30="No","Excluido",IF(C30="DIRECTO","Bono_Directos","Bono_Indirectos"))</f>
        <v>Bono_Indirectos</v>
      </c>
      <c r="G30" s="6" t="s">
        <v>124</v>
      </c>
    </row>
    <row r="31" customFormat="false" ht="15" hidden="false" customHeight="false" outlineLevel="0" collapsed="false">
      <c r="A31" s="6" t="n">
        <f aca="false">Headcount!A31</f>
        <v>2010</v>
      </c>
      <c r="B31" s="6" t="str">
        <f aca="false">Headcount!B31</f>
        <v>DANIEL OMAR TREJO BARRERA</v>
      </c>
      <c r="C31" s="6" t="str">
        <f aca="false">Headcount!F31</f>
        <v>INDIRECTO</v>
      </c>
      <c r="D31" s="6" t="str">
        <f aca="false">IF(AND(Headcount!H31&lt;=Parámetros!$B$2,Headcount!I31&lt;=Parámetros!$B$3,Headcount!J31&lt;=Parámetros!$B$4,Headcount!K31&lt;=Parámetros!$B$4,Headcount!L31&lt;=Parámetros!$B$5),"Sí","No")</f>
        <v>Sí</v>
      </c>
      <c r="E31" s="6" t="str">
        <f aca="false">IF(D31="Sí","Cumple todas las reglas",IF(Headcount!H31&gt;Parámetros!$B$2,"Faltas injustificadas: "&amp;Headcount!H31,IF(Headcount!I31&gt;Parámetros!$B$3,"Vacaciones: "&amp;Headcount!I31&amp;" días",IF(Headcount!J31&gt;Parámetros!$B$4,"Permisos con goce: "&amp;Headcount!J31,IF(Headcount!K31&gt;Parámetros!$B$4,"Permisos sin goce: "&amp;Headcount!K31,"Incapacidad: "&amp;Headcount!L31&amp;" días")))))</f>
        <v>Cumple todas las reglas</v>
      </c>
      <c r="F31" s="6" t="str">
        <f aca="false">IF(D31="No","Excluido",IF(C31="DIRECTO","Bono_Directos","Bono_Indirectos"))</f>
        <v>Bono_Indirectos</v>
      </c>
      <c r="G31" s="6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44"/>
  </cols>
  <sheetData>
    <row r="1" customFormat="false" ht="23.85" hidden="false" customHeight="false" outlineLevel="0" collapsed="false">
      <c r="A1" s="5" t="s">
        <v>122</v>
      </c>
      <c r="B1" s="5" t="s">
        <v>123</v>
      </c>
      <c r="C1" s="5" t="s">
        <v>138</v>
      </c>
      <c r="D1" s="5" t="s">
        <v>139</v>
      </c>
      <c r="E1" s="5" t="s">
        <v>140</v>
      </c>
      <c r="F1" s="5" t="s">
        <v>107</v>
      </c>
      <c r="G1" s="5" t="s">
        <v>108</v>
      </c>
      <c r="H1" s="5" t="s">
        <v>141</v>
      </c>
      <c r="I1" s="5" t="s">
        <v>142</v>
      </c>
    </row>
    <row r="2" customFormat="false" ht="15" hidden="false" customHeight="false" outlineLevel="0" collapsed="false">
      <c r="A2" s="14" t="n">
        <v>1001</v>
      </c>
      <c r="B2" s="14" t="s">
        <v>54</v>
      </c>
      <c r="C2" s="14" t="s">
        <v>110</v>
      </c>
      <c r="D2" s="6" t="str">
        <f aca="false">LOWER(TRIM(C2))</f>
        <v>ensamble 1</v>
      </c>
      <c r="E2" s="6" t="str">
        <f aca="false">IF(ISNA(MATCH(D2,Master!$A$2:$A$7,0)),"No","Sí")</f>
        <v>Sí</v>
      </c>
      <c r="F2" s="6" t="n">
        <f aca="false">IF(E2="Sí",INDEX(Master!$B$2:$B$7,MATCH(D2,Master!$A$2:$A$7,0)),"")</f>
        <v>0</v>
      </c>
      <c r="G2" s="17" t="n">
        <f aca="false">IF(E2="Sí",INDEX(Master!$C$2:$C$7,MATCH(D2,Master!$A$2:$A$7,0)),"")</f>
        <v>1</v>
      </c>
      <c r="H2" s="8" t="n">
        <f aca="false">IF(E2="No",Parámetros!$B$10,IF(F2&gt;Parámetros!$B$6,Parámetros!$B$10,IF(G2&lt;Parámetros!$B$7,Parámetros!$B$10,IF(G2&lt;Parámetros!$B$8,Parámetros!$B$11,IF(G2&lt;Parámetros!$B$9,Parámetros!$B$12,Parámetros!$B$13)))))</f>
        <v>500</v>
      </c>
      <c r="I2" s="6" t="s">
        <v>143</v>
      </c>
    </row>
    <row r="3" customFormat="false" ht="15" hidden="false" customHeight="false" outlineLevel="0" collapsed="false">
      <c r="A3" s="14" t="n">
        <v>1002</v>
      </c>
      <c r="B3" s="14" t="s">
        <v>59</v>
      </c>
      <c r="C3" s="14" t="s">
        <v>144</v>
      </c>
      <c r="D3" s="6" t="str">
        <f aca="false">LOWER(TRIM(C3))</f>
        <v>ensamble 1</v>
      </c>
      <c r="E3" s="6" t="str">
        <f aca="false">IF(ISNA(MATCH(D3,Master!$A$2:$A$7,0)),"No","Sí")</f>
        <v>Sí</v>
      </c>
      <c r="F3" s="6" t="n">
        <f aca="false">IF(E3="Sí",INDEX(Master!$B$2:$B$7,MATCH(D3,Master!$A$2:$A$7,0)),"")</f>
        <v>0</v>
      </c>
      <c r="G3" s="17" t="n">
        <f aca="false">IF(E3="Sí",INDEX(Master!$C$2:$C$7,MATCH(D3,Master!$A$2:$A$7,0)),"")</f>
        <v>1</v>
      </c>
      <c r="H3" s="8" t="n">
        <f aca="false">IF(E3="No",Parámetros!$B$10,IF(F3&gt;Parámetros!$B$6,Parámetros!$B$10,IF(G3&lt;Parámetros!$B$7,Parámetros!$B$10,IF(G3&lt;Parámetros!$B$8,Parámetros!$B$11,IF(G3&lt;Parámetros!$B$9,Parámetros!$B$12,Parámetros!$B$13)))))</f>
        <v>500</v>
      </c>
      <c r="I3" s="6" t="s">
        <v>145</v>
      </c>
    </row>
    <row r="4" customFormat="false" ht="15" hidden="false" customHeight="false" outlineLevel="0" collapsed="false">
      <c r="A4" s="14" t="n">
        <v>1004</v>
      </c>
      <c r="B4" s="14" t="s">
        <v>63</v>
      </c>
      <c r="C4" s="14" t="s">
        <v>116</v>
      </c>
      <c r="D4" s="6" t="str">
        <f aca="false">LOWER(TRIM(C4))</f>
        <v>moldeo 1</v>
      </c>
      <c r="E4" s="6" t="str">
        <f aca="false">IF(ISNA(MATCH(D4,Master!$A$2:$A$7,0)),"No","Sí")</f>
        <v>Sí</v>
      </c>
      <c r="F4" s="6" t="n">
        <f aca="false">IF(E4="Sí",INDEX(Master!$B$2:$B$7,MATCH(D4,Master!$A$2:$A$7,0)),"")</f>
        <v>2</v>
      </c>
      <c r="G4" s="17" t="n">
        <f aca="false">IF(E4="Sí",INDEX(Master!$C$2:$C$7,MATCH(D4,Master!$A$2:$A$7,0)),"")</f>
        <v>0.95</v>
      </c>
      <c r="H4" s="8" t="n">
        <f aca="false">IF(E4="No",Parámetros!$B$10,IF(F4&gt;Parámetros!$B$6,Parámetros!$B$10,IF(G4&lt;Parámetros!$B$7,Parámetros!$B$10,IF(G4&lt;Parámetros!$B$8,Parámetros!$B$11,IF(G4&lt;Parámetros!$B$9,Parámetros!$B$12,Parámetros!$B$13)))))</f>
        <v>350</v>
      </c>
      <c r="I4" s="6" t="s">
        <v>143</v>
      </c>
    </row>
    <row r="5" customFormat="false" ht="15" hidden="false" customHeight="false" outlineLevel="0" collapsed="false">
      <c r="A5" s="14" t="n">
        <v>1006</v>
      </c>
      <c r="B5" s="14" t="s">
        <v>67</v>
      </c>
      <c r="C5" s="14" t="s">
        <v>146</v>
      </c>
      <c r="D5" s="6" t="str">
        <f aca="false">LOWER(TRIM(C5))</f>
        <v>ensamble 2</v>
      </c>
      <c r="E5" s="6" t="str">
        <f aca="false">IF(ISNA(MATCH(D5,Master!$A$2:$A$7,0)),"No","Sí")</f>
        <v>Sí</v>
      </c>
      <c r="F5" s="6" t="n">
        <f aca="false">IF(E5="Sí",INDEX(Master!$B$2:$B$7,MATCH(D5,Master!$A$2:$A$7,0)),"")</f>
        <v>1</v>
      </c>
      <c r="G5" s="17" t="n">
        <f aca="false">IF(E5="Sí",INDEX(Master!$C$2:$C$7,MATCH(D5,Master!$A$2:$A$7,0)),"")</f>
        <v>0.97</v>
      </c>
      <c r="H5" s="8" t="n">
        <f aca="false">IF(E5="No",Parámetros!$B$10,IF(F5&gt;Parámetros!$B$6,Parámetros!$B$10,IF(G5&lt;Parámetros!$B$7,Parámetros!$B$10,IF(G5&lt;Parámetros!$B$8,Parámetros!$B$11,IF(G5&lt;Parámetros!$B$9,Parámetros!$B$12,Parámetros!$B$13)))))</f>
        <v>350</v>
      </c>
      <c r="I5" s="6" t="s">
        <v>145</v>
      </c>
    </row>
    <row r="6" customFormat="false" ht="15" hidden="false" customHeight="false" outlineLevel="0" collapsed="false">
      <c r="A6" s="14" t="n">
        <v>1010</v>
      </c>
      <c r="B6" s="14" t="s">
        <v>72</v>
      </c>
      <c r="C6" s="14" t="s">
        <v>147</v>
      </c>
      <c r="D6" s="6" t="str">
        <f aca="false">LOWER(TRIM(C6))</f>
        <v>ensamble 2</v>
      </c>
      <c r="E6" s="6" t="str">
        <f aca="false">IF(ISNA(MATCH(D6,Master!$A$2:$A$7,0)),"No","Sí")</f>
        <v>Sí</v>
      </c>
      <c r="F6" s="6" t="n">
        <f aca="false">IF(E6="Sí",INDEX(Master!$B$2:$B$7,MATCH(D6,Master!$A$2:$A$7,0)),"")</f>
        <v>1</v>
      </c>
      <c r="G6" s="17" t="n">
        <f aca="false">IF(E6="Sí",INDEX(Master!$C$2:$C$7,MATCH(D6,Master!$A$2:$A$7,0)),"")</f>
        <v>0.97</v>
      </c>
      <c r="H6" s="8" t="n">
        <f aca="false">IF(E6="No",Parámetros!$B$10,IF(F6&gt;Parámetros!$B$6,Parámetros!$B$10,IF(G6&lt;Parámetros!$B$7,Parámetros!$B$10,IF(G6&lt;Parámetros!$B$8,Parámetros!$B$11,IF(G6&lt;Parámetros!$B$9,Parámetros!$B$12,Parámetros!$B$13)))))</f>
        <v>350</v>
      </c>
      <c r="I6" s="6" t="s">
        <v>145</v>
      </c>
    </row>
    <row r="7" customFormat="false" ht="15" hidden="false" customHeight="false" outlineLevel="0" collapsed="false">
      <c r="A7" s="14" t="n">
        <v>1011</v>
      </c>
      <c r="B7" s="14" t="s">
        <v>73</v>
      </c>
      <c r="C7" s="14" t="s">
        <v>114</v>
      </c>
      <c r="D7" s="6" t="str">
        <f aca="false">LOWER(TRIM(C7))</f>
        <v>ensamble 3</v>
      </c>
      <c r="E7" s="6" t="str">
        <f aca="false">IF(ISNA(MATCH(D7,Master!$A$2:$A$7,0)),"No","Sí")</f>
        <v>Sí</v>
      </c>
      <c r="F7" s="6" t="n">
        <f aca="false">IF(E7="Sí",INDEX(Master!$B$2:$B$7,MATCH(D7,Master!$A$2:$A$7,0)),"")</f>
        <v>3</v>
      </c>
      <c r="G7" s="17" t="n">
        <f aca="false">IF(E7="Sí",INDEX(Master!$C$2:$C$7,MATCH(D7,Master!$A$2:$A$7,0)),"")</f>
        <v>1</v>
      </c>
      <c r="H7" s="8" t="n">
        <f aca="false">IF(E7="No",Parámetros!$B$10,IF(F7&gt;Parámetros!$B$6,Parámetros!$B$10,IF(G7&lt;Parámetros!$B$7,Parámetros!$B$10,IF(G7&lt;Parámetros!$B$8,Parámetros!$B$11,IF(G7&lt;Parámetros!$B$9,Parámetros!$B$12,Parámetros!$B$13)))))</f>
        <v>0</v>
      </c>
      <c r="I7" s="6" t="s">
        <v>143</v>
      </c>
    </row>
    <row r="8" customFormat="false" ht="15" hidden="false" customHeight="false" outlineLevel="0" collapsed="false">
      <c r="A8" s="14" t="n">
        <v>1012</v>
      </c>
      <c r="B8" s="14" t="s">
        <v>74</v>
      </c>
      <c r="C8" s="14" t="s">
        <v>148</v>
      </c>
      <c r="D8" s="6" t="str">
        <f aca="false">LOWER(TRIM(C8))</f>
        <v>moldeo 1</v>
      </c>
      <c r="E8" s="6" t="str">
        <f aca="false">IF(ISNA(MATCH(D8,Master!$A$2:$A$7,0)),"No","Sí")</f>
        <v>Sí</v>
      </c>
      <c r="F8" s="6" t="n">
        <f aca="false">IF(E8="Sí",INDEX(Master!$B$2:$B$7,MATCH(D8,Master!$A$2:$A$7,0)),"")</f>
        <v>2</v>
      </c>
      <c r="G8" s="17" t="n">
        <f aca="false">IF(E8="Sí",INDEX(Master!$C$2:$C$7,MATCH(D8,Master!$A$2:$A$7,0)),"")</f>
        <v>0.95</v>
      </c>
      <c r="H8" s="8" t="n">
        <f aca="false">IF(E8="No",Parámetros!$B$10,IF(F8&gt;Parámetros!$B$6,Parámetros!$B$10,IF(G8&lt;Parámetros!$B$7,Parámetros!$B$10,IF(G8&lt;Parámetros!$B$8,Parámetros!$B$11,IF(G8&lt;Parámetros!$B$9,Parámetros!$B$12,Parámetros!$B$13)))))</f>
        <v>350</v>
      </c>
      <c r="I8" s="6" t="s">
        <v>145</v>
      </c>
    </row>
    <row r="9" customFormat="false" ht="15" hidden="false" customHeight="false" outlineLevel="0" collapsed="false">
      <c r="A9" s="14" t="n">
        <v>1013</v>
      </c>
      <c r="B9" s="14" t="s">
        <v>75</v>
      </c>
      <c r="C9" s="14" t="s">
        <v>149</v>
      </c>
      <c r="D9" s="6" t="str">
        <f aca="false">LOWER(TRIM(C9))</f>
        <v>moldeo 2</v>
      </c>
      <c r="E9" s="6" t="str">
        <f aca="false">IF(ISNA(MATCH(D9,Master!$A$2:$A$7,0)),"No","Sí")</f>
        <v>Sí</v>
      </c>
      <c r="F9" s="6" t="n">
        <f aca="false">IF(E9="Sí",INDEX(Master!$B$2:$B$7,MATCH(D9,Master!$A$2:$A$7,0)),"")</f>
        <v>0</v>
      </c>
      <c r="G9" s="17" t="n">
        <f aca="false">IF(E9="Sí",INDEX(Master!$C$2:$C$7,MATCH(D9,Master!$A$2:$A$7,0)),"")</f>
        <v>0.93</v>
      </c>
      <c r="H9" s="8" t="n">
        <f aca="false">IF(E9="No",Parámetros!$B$10,IF(F9&gt;Parámetros!$B$6,Parámetros!$B$10,IF(G9&lt;Parámetros!$B$7,Parámetros!$B$10,IF(G9&lt;Parámetros!$B$8,Parámetros!$B$11,IF(G9&lt;Parámetros!$B$9,Parámetros!$B$12,Parámetros!$B$13)))))</f>
        <v>250</v>
      </c>
      <c r="I9" s="6" t="s">
        <v>145</v>
      </c>
    </row>
    <row r="10" customFormat="false" ht="15" hidden="false" customHeight="false" outlineLevel="0" collapsed="false">
      <c r="A10" s="14" t="n">
        <v>1014</v>
      </c>
      <c r="B10" s="14" t="s">
        <v>76</v>
      </c>
      <c r="C10" s="14" t="s">
        <v>120</v>
      </c>
      <c r="D10" s="6" t="str">
        <f aca="false">LOWER(TRIM(C10))</f>
        <v>empaque 1</v>
      </c>
      <c r="E10" s="6" t="str">
        <f aca="false">IF(ISNA(MATCH(D10,Master!$A$2:$A$7,0)),"No","Sí")</f>
        <v>Sí</v>
      </c>
      <c r="F10" s="6" t="n">
        <f aca="false">IF(E10="Sí",INDEX(Master!$B$2:$B$7,MATCH(D10,Master!$A$2:$A$7,0)),"")</f>
        <v>1</v>
      </c>
      <c r="G10" s="17" t="n">
        <f aca="false">IF(E10="Sí",INDEX(Master!$C$2:$C$7,MATCH(D10,Master!$A$2:$A$7,0)),"")</f>
        <v>0.89</v>
      </c>
      <c r="H10" s="8" t="n">
        <f aca="false">IF(E10="No",Parámetros!$B$10,IF(F10&gt;Parámetros!$B$6,Parámetros!$B$10,IF(G10&lt;Parámetros!$B$7,Parámetros!$B$10,IF(G10&lt;Parámetros!$B$8,Parámetros!$B$11,IF(G10&lt;Parámetros!$B$9,Parámetros!$B$12,Parámetros!$B$13)))))</f>
        <v>0</v>
      </c>
      <c r="I10" s="6" t="s">
        <v>143</v>
      </c>
    </row>
    <row r="11" customFormat="false" ht="15" hidden="false" customHeight="false" outlineLevel="0" collapsed="false">
      <c r="A11" s="14" t="n">
        <v>1015</v>
      </c>
      <c r="B11" s="14" t="s">
        <v>77</v>
      </c>
      <c r="C11" s="14" t="s">
        <v>114</v>
      </c>
      <c r="D11" s="6" t="str">
        <f aca="false">LOWER(TRIM(C11))</f>
        <v>ensamble 3</v>
      </c>
      <c r="E11" s="6" t="str">
        <f aca="false">IF(ISNA(MATCH(D11,Master!$A$2:$A$7,0)),"No","Sí")</f>
        <v>Sí</v>
      </c>
      <c r="F11" s="6" t="n">
        <f aca="false">IF(E11="Sí",INDEX(Master!$B$2:$B$7,MATCH(D11,Master!$A$2:$A$7,0)),"")</f>
        <v>3</v>
      </c>
      <c r="G11" s="17" t="n">
        <f aca="false">IF(E11="Sí",INDEX(Master!$C$2:$C$7,MATCH(D11,Master!$A$2:$A$7,0)),"")</f>
        <v>1</v>
      </c>
      <c r="H11" s="8" t="n">
        <f aca="false">IF(E11="No",Parámetros!$B$10,IF(F11&gt;Parámetros!$B$6,Parámetros!$B$10,IF(G11&lt;Parámetros!$B$7,Parámetros!$B$10,IF(G11&lt;Parámetros!$B$8,Parámetros!$B$11,IF(G11&lt;Parámetros!$B$9,Parámetros!$B$12,Parámetros!$B$13)))))</f>
        <v>0</v>
      </c>
      <c r="I11" s="6" t="s">
        <v>143</v>
      </c>
    </row>
    <row r="12" customFormat="false" ht="15" hidden="false" customHeight="false" outlineLevel="0" collapsed="false">
      <c r="A12" s="14" t="n">
        <v>1016</v>
      </c>
      <c r="B12" s="14" t="s">
        <v>78</v>
      </c>
      <c r="C12" s="14" t="s">
        <v>150</v>
      </c>
      <c r="D12" s="6" t="str">
        <f aca="false">LOWER(TRIM(C12))</f>
        <v>ensamble 9</v>
      </c>
      <c r="E12" s="6" t="str">
        <f aca="false">IF(ISNA(MATCH(D12,Master!$A$2:$A$7,0)),"No","Sí")</f>
        <v>No</v>
      </c>
      <c r="F12" s="6" t="str">
        <f aca="false">IF(E12="Sí",INDEX(Master!$B$2:$B$7,MATCH(D12,Master!$A$2:$A$7,0)),"")</f>
        <v/>
      </c>
      <c r="G12" s="17" t="str">
        <f aca="false">IF(E12="Sí",INDEX(Master!$C$2:$C$7,MATCH(D12,Master!$A$2:$A$7,0)),"")</f>
        <v/>
      </c>
      <c r="H12" s="8" t="n">
        <f aca="false">IF(E12="No",Parámetros!$B$10,IF(F12&gt;Parámetros!$B$6,Parámetros!$B$10,IF(G12&lt;Parámetros!$B$7,Parámetros!$B$10,IF(G12&lt;Parámetros!$B$8,Parámetros!$B$11,IF(G12&lt;Parámetros!$B$9,Parámetros!$B$12,Parámetros!$B$13)))))</f>
        <v>0</v>
      </c>
      <c r="I12" s="6" t="s">
        <v>151</v>
      </c>
    </row>
    <row r="13" customFormat="false" ht="15" hidden="false" customHeight="false" outlineLevel="0" collapsed="false">
      <c r="A13" s="14" t="n">
        <v>1017</v>
      </c>
      <c r="B13" s="14" t="s">
        <v>79</v>
      </c>
      <c r="C13" s="14" t="s">
        <v>152</v>
      </c>
      <c r="D13" s="6" t="str">
        <f aca="false">LOWER(TRIM(C13))</f>
        <v>ensamble 2</v>
      </c>
      <c r="E13" s="6" t="str">
        <f aca="false">IF(ISNA(MATCH(D13,Master!$A$2:$A$7,0)),"No","Sí")</f>
        <v>Sí</v>
      </c>
      <c r="F13" s="6" t="n">
        <f aca="false">IF(E13="Sí",INDEX(Master!$B$2:$B$7,MATCH(D13,Master!$A$2:$A$7,0)),"")</f>
        <v>1</v>
      </c>
      <c r="G13" s="17" t="n">
        <f aca="false">IF(E13="Sí",INDEX(Master!$C$2:$C$7,MATCH(D13,Master!$A$2:$A$7,0)),"")</f>
        <v>0.97</v>
      </c>
      <c r="H13" s="8" t="n">
        <f aca="false">IF(E13="No",Parámetros!$B$10,IF(F13&gt;Parámetros!$B$6,Parámetros!$B$10,IF(G13&lt;Parámetros!$B$7,Parámetros!$B$10,IF(G13&lt;Parámetros!$B$8,Parámetros!$B$11,IF(G13&lt;Parámetros!$B$9,Parámetros!$B$12,Parámetros!$B$13)))))</f>
        <v>350</v>
      </c>
      <c r="I13" s="6" t="s">
        <v>145</v>
      </c>
    </row>
    <row r="14" customFormat="false" ht="15" hidden="false" customHeight="false" outlineLevel="0" collapsed="false">
      <c r="A14" s="14" t="n">
        <v>1018</v>
      </c>
      <c r="B14" s="14" t="s">
        <v>80</v>
      </c>
      <c r="C14" s="14" t="s">
        <v>153</v>
      </c>
      <c r="D14" s="6" t="str">
        <f aca="false">LOWER(TRIM(C14))</f>
        <v>empaque 1</v>
      </c>
      <c r="E14" s="6" t="str">
        <f aca="false">IF(ISNA(MATCH(D14,Master!$A$2:$A$7,0)),"No","Sí")</f>
        <v>Sí</v>
      </c>
      <c r="F14" s="6" t="n">
        <f aca="false">IF(E14="Sí",INDEX(Master!$B$2:$B$7,MATCH(D14,Master!$A$2:$A$7,0)),"")</f>
        <v>1</v>
      </c>
      <c r="G14" s="17" t="n">
        <f aca="false">IF(E14="Sí",INDEX(Master!$C$2:$C$7,MATCH(D14,Master!$A$2:$A$7,0)),"")</f>
        <v>0.89</v>
      </c>
      <c r="H14" s="8" t="n">
        <f aca="false">IF(E14="No",Parámetros!$B$10,IF(F14&gt;Parámetros!$B$6,Parámetros!$B$10,IF(G14&lt;Parámetros!$B$7,Parámetros!$B$10,IF(G14&lt;Parámetros!$B$8,Parámetros!$B$11,IF(G14&lt;Parámetros!$B$9,Parámetros!$B$12,Parámetros!$B$13)))))</f>
        <v>0</v>
      </c>
      <c r="I14" s="6" t="s">
        <v>145</v>
      </c>
    </row>
    <row r="15" customFormat="false" ht="15" hidden="false" customHeight="false" outlineLevel="0" collapsed="false">
      <c r="A15" s="14" t="n">
        <v>1019</v>
      </c>
      <c r="B15" s="14" t="s">
        <v>81</v>
      </c>
      <c r="C15" s="14" t="s">
        <v>118</v>
      </c>
      <c r="D15" s="6" t="str">
        <f aca="false">LOWER(TRIM(C15))</f>
        <v>moldeo 2</v>
      </c>
      <c r="E15" s="6" t="str">
        <f aca="false">IF(ISNA(MATCH(D15,Master!$A$2:$A$7,0)),"No","Sí")</f>
        <v>Sí</v>
      </c>
      <c r="F15" s="6" t="n">
        <f aca="false">IF(E15="Sí",INDEX(Master!$B$2:$B$7,MATCH(D15,Master!$A$2:$A$7,0)),"")</f>
        <v>0</v>
      </c>
      <c r="G15" s="17" t="n">
        <f aca="false">IF(E15="Sí",INDEX(Master!$C$2:$C$7,MATCH(D15,Master!$A$2:$A$7,0)),"")</f>
        <v>0.93</v>
      </c>
      <c r="H15" s="8" t="n">
        <f aca="false">IF(E15="No",Parámetros!$B$10,IF(F15&gt;Parámetros!$B$6,Parámetros!$B$10,IF(G15&lt;Parámetros!$B$7,Parámetros!$B$10,IF(G15&lt;Parámetros!$B$8,Parámetros!$B$11,IF(G15&lt;Parámetros!$B$9,Parámetros!$B$12,Parámetros!$B$13)))))</f>
        <v>250</v>
      </c>
      <c r="I15" s="6" t="s">
        <v>143</v>
      </c>
    </row>
    <row r="16" customFormat="false" ht="15" hidden="false" customHeight="false" outlineLevel="0" collapsed="false">
      <c r="A16" s="14" t="n">
        <v>1020</v>
      </c>
      <c r="B16" s="14" t="s">
        <v>82</v>
      </c>
      <c r="C16" s="14" t="s">
        <v>110</v>
      </c>
      <c r="D16" s="6" t="str">
        <f aca="false">LOWER(TRIM(C16))</f>
        <v>ensamble 1</v>
      </c>
      <c r="E16" s="6" t="str">
        <f aca="false">IF(ISNA(MATCH(D16,Master!$A$2:$A$7,0)),"No","Sí")</f>
        <v>Sí</v>
      </c>
      <c r="F16" s="6" t="n">
        <f aca="false">IF(E16="Sí",INDEX(Master!$B$2:$B$7,MATCH(D16,Master!$A$2:$A$7,0)),"")</f>
        <v>0</v>
      </c>
      <c r="G16" s="17" t="n">
        <f aca="false">IF(E16="Sí",INDEX(Master!$C$2:$C$7,MATCH(D16,Master!$A$2:$A$7,0)),"")</f>
        <v>1</v>
      </c>
      <c r="H16" s="8" t="n">
        <f aca="false">IF(E16="No",Parámetros!$B$10,IF(F16&gt;Parámetros!$B$6,Parámetros!$B$10,IF(G16&lt;Parámetros!$B$7,Parámetros!$B$10,IF(G16&lt;Parámetros!$B$8,Parámetros!$B$11,IF(G16&lt;Parámetros!$B$9,Parámetros!$B$12,Parámetros!$B$13)))))</f>
        <v>500</v>
      </c>
      <c r="I16" s="6" t="s">
        <v>143</v>
      </c>
    </row>
    <row r="17" customFormat="false" ht="15" hidden="false" customHeight="false" outlineLevel="0" collapsed="false">
      <c r="G17" s="4" t="s">
        <v>154</v>
      </c>
      <c r="H17" s="18" t="n">
        <f aca="false">SUM(H2:H16)</f>
        <v>3750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5" t="s">
        <v>122</v>
      </c>
      <c r="B1" s="5" t="s">
        <v>123</v>
      </c>
      <c r="C1" s="5" t="s">
        <v>48</v>
      </c>
      <c r="D1" s="5" t="s">
        <v>141</v>
      </c>
    </row>
    <row r="2" customFormat="false" ht="15" hidden="false" customHeight="false" outlineLevel="0" collapsed="false">
      <c r="A2" s="14" t="n">
        <v>2001</v>
      </c>
      <c r="B2" s="14" t="s">
        <v>83</v>
      </c>
      <c r="C2" s="14" t="s">
        <v>86</v>
      </c>
      <c r="D2" s="8" t="n">
        <f aca="false">Parámetros!$B$14</f>
        <v>250</v>
      </c>
    </row>
    <row r="3" customFormat="false" ht="15" hidden="false" customHeight="false" outlineLevel="0" collapsed="false">
      <c r="A3" s="14" t="n">
        <v>2002</v>
      </c>
      <c r="B3" s="14" t="s">
        <v>87</v>
      </c>
      <c r="C3" s="14" t="s">
        <v>89</v>
      </c>
      <c r="D3" s="8" t="n">
        <f aca="false">Parámetros!$B$14</f>
        <v>250</v>
      </c>
    </row>
    <row r="4" customFormat="false" ht="15" hidden="false" customHeight="false" outlineLevel="0" collapsed="false">
      <c r="A4" s="14" t="n">
        <v>2004</v>
      </c>
      <c r="B4" s="14" t="s">
        <v>93</v>
      </c>
      <c r="C4" s="14" t="s">
        <v>94</v>
      </c>
      <c r="D4" s="8" t="n">
        <f aca="false">Parámetros!$B$14</f>
        <v>250</v>
      </c>
    </row>
    <row r="5" customFormat="false" ht="15" hidden="false" customHeight="false" outlineLevel="0" collapsed="false">
      <c r="A5" s="14" t="n">
        <v>2006</v>
      </c>
      <c r="B5" s="14" t="s">
        <v>98</v>
      </c>
      <c r="C5" s="14" t="s">
        <v>100</v>
      </c>
      <c r="D5" s="8" t="n">
        <f aca="false">Parámetros!$B$14</f>
        <v>250</v>
      </c>
    </row>
    <row r="6" customFormat="false" ht="15" hidden="false" customHeight="false" outlineLevel="0" collapsed="false">
      <c r="A6" s="14" t="n">
        <v>2007</v>
      </c>
      <c r="B6" s="14" t="s">
        <v>101</v>
      </c>
      <c r="C6" s="14" t="s">
        <v>102</v>
      </c>
      <c r="D6" s="8" t="n">
        <f aca="false">Parámetros!$B$14</f>
        <v>250</v>
      </c>
    </row>
    <row r="7" customFormat="false" ht="15" hidden="false" customHeight="false" outlineLevel="0" collapsed="false">
      <c r="A7" s="14" t="n">
        <v>2009</v>
      </c>
      <c r="B7" s="14" t="s">
        <v>104</v>
      </c>
      <c r="C7" s="14" t="s">
        <v>92</v>
      </c>
      <c r="D7" s="8" t="n">
        <f aca="false">Parámetros!$B$14</f>
        <v>250</v>
      </c>
    </row>
    <row r="8" customFormat="false" ht="15" hidden="false" customHeight="false" outlineLevel="0" collapsed="false">
      <c r="A8" s="14" t="n">
        <v>2010</v>
      </c>
      <c r="B8" s="14" t="s">
        <v>105</v>
      </c>
      <c r="C8" s="14" t="s">
        <v>94</v>
      </c>
      <c r="D8" s="8" t="n">
        <f aca="false">Parámetros!$B$14</f>
        <v>250</v>
      </c>
    </row>
    <row r="9" customFormat="false" ht="15" hidden="false" customHeight="false" outlineLevel="0" collapsed="false">
      <c r="C9" s="4" t="s">
        <v>154</v>
      </c>
      <c r="D9" s="18" t="n">
        <f aca="false">SUM(D2:D8)</f>
        <v>1750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2026-10-13T06:27:17Z</dcterms:created>
  <dc:creator>openpyxl</dc:creator>
  <dc:description/>
  <dc:language>en-US</dc:language>
  <cp:lastModifiedBy/>
  <dcterms:modified xsi:type="dcterms:W3CDTF">2026-10-13T06:27:17Z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